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BEA030A-81B9-4F14-897D-DB0ECEC778C9}" xr6:coauthVersionLast="47" xr6:coauthVersionMax="47" xr10:uidLastSave="{00000000-0000-0000-0000-000000000000}"/>
  <bookViews>
    <workbookView xWindow="-105" yWindow="0" windowWidth="19410" windowHeight="20985" xr2:uid="{7468E1F3-9D35-481A-AEF7-2F52FE6D00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9" i="1" l="1"/>
  <c r="J128" i="1"/>
  <c r="K126" i="1"/>
  <c r="L126" i="1"/>
  <c r="J126" i="1"/>
  <c r="L125" i="1"/>
  <c r="K125" i="1"/>
  <c r="J125" i="1"/>
  <c r="L124" i="1"/>
  <c r="K124" i="1"/>
  <c r="J124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111" i="1"/>
  <c r="G86" i="1" a="1"/>
  <c r="G86" i="1" s="1"/>
  <c r="G104" i="1" s="1" a="1"/>
  <c r="G104" i="1" s="1"/>
  <c r="G106" i="1" s="1"/>
  <c r="G100" i="1"/>
  <c r="L2" i="1"/>
  <c r="L15" i="1" s="1"/>
  <c r="M2" i="1"/>
  <c r="M20" i="1" s="1"/>
  <c r="N2" i="1"/>
  <c r="N9" i="1" s="1"/>
  <c r="G2" i="1"/>
  <c r="G5" i="1" s="1"/>
  <c r="I2" i="1"/>
  <c r="I15" i="1" s="1"/>
  <c r="H2" i="1"/>
  <c r="H10" i="1" s="1"/>
  <c r="G80" i="1" l="1"/>
  <c r="G81" i="1"/>
  <c r="G82" i="1"/>
  <c r="G101" i="1"/>
  <c r="G102" i="1"/>
  <c r="N40" i="1"/>
  <c r="M29" i="1"/>
  <c r="M51" i="1"/>
  <c r="L18" i="1"/>
  <c r="M23" i="1"/>
  <c r="L51" i="1"/>
  <c r="M40" i="1"/>
  <c r="L29" i="1"/>
  <c r="N14" i="1"/>
  <c r="N50" i="1"/>
  <c r="N28" i="1"/>
  <c r="L14" i="1"/>
  <c r="M39" i="1"/>
  <c r="N49" i="1"/>
  <c r="L13" i="1"/>
  <c r="N23" i="1"/>
  <c r="M56" i="1"/>
  <c r="M34" i="1"/>
  <c r="L20" i="1"/>
  <c r="N8" i="1"/>
  <c r="M25" i="1"/>
  <c r="N13" i="1"/>
  <c r="M24" i="1"/>
  <c r="N4" i="1"/>
  <c r="N45" i="1"/>
  <c r="N19" i="1"/>
  <c r="M8" i="1"/>
  <c r="L40" i="1"/>
  <c r="M14" i="1"/>
  <c r="M50" i="1"/>
  <c r="N39" i="1"/>
  <c r="L50" i="1"/>
  <c r="L36" i="1"/>
  <c r="M13" i="1"/>
  <c r="L24" i="1"/>
  <c r="M9" i="1"/>
  <c r="L34" i="1"/>
  <c r="N55" i="1"/>
  <c r="N44" i="1"/>
  <c r="N30" i="1"/>
  <c r="M19" i="1"/>
  <c r="L8" i="1"/>
  <c r="N35" i="1"/>
  <c r="M46" i="1"/>
  <c r="N12" i="1"/>
  <c r="L9" i="1"/>
  <c r="L56" i="1"/>
  <c r="M55" i="1"/>
  <c r="M44" i="1"/>
  <c r="M30" i="1"/>
  <c r="L19" i="1"/>
  <c r="N7" i="1"/>
  <c r="M4" i="1"/>
  <c r="L46" i="1"/>
  <c r="N34" i="1"/>
  <c r="L45" i="1"/>
  <c r="L52" i="1"/>
  <c r="M41" i="1"/>
  <c r="L30" i="1"/>
  <c r="N18" i="1"/>
  <c r="M7" i="1"/>
  <c r="L25" i="1"/>
  <c r="N24" i="1"/>
  <c r="N46" i="1"/>
  <c r="M35" i="1"/>
  <c r="L35" i="1"/>
  <c r="N56" i="1"/>
  <c r="M45" i="1"/>
  <c r="N51" i="1"/>
  <c r="L41" i="1"/>
  <c r="N29" i="1"/>
  <c r="M18" i="1"/>
  <c r="N6" i="1"/>
  <c r="M43" i="1"/>
  <c r="L38" i="1"/>
  <c r="N32" i="1"/>
  <c r="M27" i="1"/>
  <c r="L22" i="1"/>
  <c r="N16" i="1"/>
  <c r="M11" i="1"/>
  <c r="L6" i="1"/>
  <c r="L49" i="1"/>
  <c r="L33" i="1"/>
  <c r="M22" i="1"/>
  <c r="N11" i="1"/>
  <c r="N48" i="1"/>
  <c r="G4" i="1"/>
  <c r="N53" i="1"/>
  <c r="M48" i="1"/>
  <c r="L43" i="1"/>
  <c r="N37" i="1"/>
  <c r="M32" i="1"/>
  <c r="L27" i="1"/>
  <c r="N21" i="1"/>
  <c r="M16" i="1"/>
  <c r="L11" i="1"/>
  <c r="N5" i="1"/>
  <c r="N33" i="1"/>
  <c r="M28" i="1"/>
  <c r="L23" i="1"/>
  <c r="N17" i="1"/>
  <c r="M12" i="1"/>
  <c r="L7" i="1"/>
  <c r="N54" i="1"/>
  <c r="L44" i="1"/>
  <c r="M33" i="1"/>
  <c r="N22" i="1"/>
  <c r="M17" i="1"/>
  <c r="N43" i="1"/>
  <c r="N27" i="1"/>
  <c r="L17" i="1"/>
  <c r="M6" i="1"/>
  <c r="L54" i="1"/>
  <c r="H5" i="1"/>
  <c r="M53" i="1"/>
  <c r="L48" i="1"/>
  <c r="N42" i="1"/>
  <c r="M37" i="1"/>
  <c r="L32" i="1"/>
  <c r="N26" i="1"/>
  <c r="M21" i="1"/>
  <c r="L16" i="1"/>
  <c r="N10" i="1"/>
  <c r="M5" i="1"/>
  <c r="M49" i="1"/>
  <c r="N38" i="1"/>
  <c r="L28" i="1"/>
  <c r="L12" i="1"/>
  <c r="M54" i="1"/>
  <c r="M38" i="1"/>
  <c r="H4" i="1"/>
  <c r="L53" i="1"/>
  <c r="N47" i="1"/>
  <c r="M42" i="1"/>
  <c r="L37" i="1"/>
  <c r="N31" i="1"/>
  <c r="M26" i="1"/>
  <c r="L21" i="1"/>
  <c r="N15" i="1"/>
  <c r="M10" i="1"/>
  <c r="L5" i="1"/>
  <c r="L55" i="1"/>
  <c r="L39" i="1"/>
  <c r="N36" i="1"/>
  <c r="N52" i="1"/>
  <c r="M47" i="1"/>
  <c r="L42" i="1"/>
  <c r="M31" i="1"/>
  <c r="L26" i="1"/>
  <c r="N20" i="1"/>
  <c r="M15" i="1"/>
  <c r="L10" i="1"/>
  <c r="L4" i="1"/>
  <c r="M52" i="1"/>
  <c r="L47" i="1"/>
  <c r="N41" i="1"/>
  <c r="M36" i="1"/>
  <c r="L31" i="1"/>
  <c r="N25" i="1"/>
  <c r="H19" i="1"/>
  <c r="G10" i="1"/>
  <c r="I22" i="1"/>
  <c r="G20" i="1"/>
  <c r="I35" i="1"/>
  <c r="G14" i="1"/>
  <c r="G35" i="1"/>
  <c r="I50" i="1"/>
  <c r="H6" i="1"/>
  <c r="H47" i="1"/>
  <c r="H31" i="1"/>
  <c r="H15" i="1"/>
  <c r="I41" i="1"/>
  <c r="I25" i="1"/>
  <c r="H41" i="1"/>
  <c r="I14" i="1"/>
  <c r="H30" i="1"/>
  <c r="I19" i="1"/>
  <c r="I24" i="1"/>
  <c r="I45" i="1"/>
  <c r="I13" i="1"/>
  <c r="I34" i="1"/>
  <c r="H50" i="1"/>
  <c r="I23" i="1"/>
  <c r="I12" i="1"/>
  <c r="G6" i="1"/>
  <c r="G31" i="1"/>
  <c r="G15" i="1"/>
  <c r="G36" i="1"/>
  <c r="H25" i="1"/>
  <c r="H9" i="1"/>
  <c r="G41" i="1"/>
  <c r="H14" i="1"/>
  <c r="G46" i="1"/>
  <c r="H35" i="1"/>
  <c r="I8" i="1"/>
  <c r="H40" i="1"/>
  <c r="I29" i="1"/>
  <c r="G19" i="1"/>
  <c r="H29" i="1"/>
  <c r="G8" i="1"/>
  <c r="H34" i="1"/>
  <c r="H18" i="1"/>
  <c r="I44" i="1"/>
  <c r="I28" i="1"/>
  <c r="H7" i="1"/>
  <c r="I49" i="1"/>
  <c r="G39" i="1"/>
  <c r="G23" i="1"/>
  <c r="H12" i="1"/>
  <c r="I38" i="1"/>
  <c r="G12" i="1"/>
  <c r="H38" i="1"/>
  <c r="H22" i="1"/>
  <c r="H43" i="1"/>
  <c r="G22" i="1"/>
  <c r="G43" i="1"/>
  <c r="G27" i="1"/>
  <c r="G11" i="1"/>
  <c r="I5" i="1"/>
  <c r="G42" i="1"/>
  <c r="I20" i="1"/>
  <c r="G47" i="1"/>
  <c r="H20" i="1"/>
  <c r="I46" i="1"/>
  <c r="H46" i="1"/>
  <c r="G9" i="1"/>
  <c r="I40" i="1"/>
  <c r="H8" i="1"/>
  <c r="G40" i="1"/>
  <c r="G24" i="1"/>
  <c r="H13" i="1"/>
  <c r="G45" i="1"/>
  <c r="G29" i="1"/>
  <c r="I7" i="1"/>
  <c r="G50" i="1"/>
  <c r="G34" i="1"/>
  <c r="H23" i="1"/>
  <c r="H44" i="1"/>
  <c r="G7" i="1"/>
  <c r="G44" i="1"/>
  <c r="H33" i="1"/>
  <c r="H17" i="1"/>
  <c r="G49" i="1"/>
  <c r="G33" i="1"/>
  <c r="G17" i="1"/>
  <c r="I48" i="1"/>
  <c r="G38" i="1"/>
  <c r="H27" i="1"/>
  <c r="I16" i="1"/>
  <c r="H48" i="1"/>
  <c r="H32" i="1"/>
  <c r="H16" i="1"/>
  <c r="G48" i="1"/>
  <c r="I42" i="1"/>
  <c r="H37" i="1"/>
  <c r="G32" i="1"/>
  <c r="I26" i="1"/>
  <c r="H21" i="1"/>
  <c r="G16" i="1"/>
  <c r="I10" i="1"/>
  <c r="I36" i="1"/>
  <c r="G26" i="1"/>
  <c r="H36" i="1"/>
  <c r="I9" i="1"/>
  <c r="I30" i="1"/>
  <c r="G25" i="1"/>
  <c r="G30" i="1"/>
  <c r="I4" i="1"/>
  <c r="H24" i="1"/>
  <c r="H45" i="1"/>
  <c r="I18" i="1"/>
  <c r="I39" i="1"/>
  <c r="G13" i="1"/>
  <c r="H39" i="1"/>
  <c r="G18" i="1"/>
  <c r="I33" i="1"/>
  <c r="H28" i="1"/>
  <c r="I17" i="1"/>
  <c r="H49" i="1"/>
  <c r="G28" i="1"/>
  <c r="I6" i="1"/>
  <c r="I43" i="1"/>
  <c r="I27" i="1"/>
  <c r="I11" i="1"/>
  <c r="I32" i="1"/>
  <c r="H11" i="1"/>
  <c r="I37" i="1"/>
  <c r="I21" i="1"/>
  <c r="I47" i="1"/>
  <c r="H42" i="1"/>
  <c r="G37" i="1"/>
  <c r="I31" i="1"/>
  <c r="H26" i="1"/>
  <c r="G21" i="1"/>
  <c r="L58" i="1" l="1" a="1"/>
  <c r="L58" i="1" s="1"/>
  <c r="G52" i="1" a="1"/>
  <c r="G52" i="1" s="1"/>
  <c r="G66" i="1" s="1" a="1"/>
  <c r="G66" i="1" s="1"/>
  <c r="G74" i="1" s="1" a="1"/>
  <c r="G74" i="1" s="1"/>
  <c r="G92" i="1" s="1" a="1"/>
  <c r="G9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<sst xmlns="http://schemas.openxmlformats.org/spreadsheetml/2006/main" count="253" uniqueCount="44">
  <si>
    <t>tanggungan</t>
  </si>
  <si>
    <t>pendapatan</t>
  </si>
  <si>
    <t>Status</t>
  </si>
  <si>
    <t>Bad</t>
  </si>
  <si>
    <t>Good</t>
  </si>
  <si>
    <t>Usia + NIM</t>
  </si>
  <si>
    <t>=</t>
  </si>
  <si>
    <t>rataan Xbad</t>
  </si>
  <si>
    <t>Sbad</t>
  </si>
  <si>
    <t>X - rataan</t>
  </si>
  <si>
    <t>rataan Xgood</t>
  </si>
  <si>
    <t>Sgood</t>
  </si>
  <si>
    <t>A. Menentukan Model fungsi diskriminan (Langkah 1)</t>
  </si>
  <si>
    <t>A. Langkah 2</t>
  </si>
  <si>
    <t>Mencari Sgabungan</t>
  </si>
  <si>
    <t>A. Langkah 3</t>
  </si>
  <si>
    <t>Inverse Sgabungan</t>
  </si>
  <si>
    <t>Vektor a</t>
  </si>
  <si>
    <t>a transpose</t>
  </si>
  <si>
    <t>Fungsi diskriminan</t>
  </si>
  <si>
    <t>y</t>
  </si>
  <si>
    <t>X1</t>
  </si>
  <si>
    <t>X2</t>
  </si>
  <si>
    <t>X3</t>
  </si>
  <si>
    <t>B. Skor diskriminan (Langkah 1)</t>
  </si>
  <si>
    <t>vektor (μ1+μ2)</t>
  </si>
  <si>
    <t>a′(μ1+μ2)</t>
  </si>
  <si>
    <t>nilai h</t>
  </si>
  <si>
    <t>B. Langkah 2</t>
  </si>
  <si>
    <t>Skor</t>
  </si>
  <si>
    <t>status fisher</t>
  </si>
  <si>
    <t>Rataan bad - Rataan good</t>
  </si>
  <si>
    <r>
      <t xml:space="preserve">Jika </t>
    </r>
    <r>
      <rPr>
        <b/>
        <sz val="11"/>
        <color theme="1"/>
        <rFont val="Aptos Narrow"/>
        <family val="2"/>
        <scheme val="minor"/>
      </rPr>
      <t>Skor ≥ h</t>
    </r>
    <r>
      <rPr>
        <sz val="11"/>
        <color theme="1"/>
        <rFont val="Aptos Narrow"/>
        <family val="2"/>
        <scheme val="minor"/>
      </rPr>
      <t xml:space="preserve"> → diklasifikasikan </t>
    </r>
    <r>
      <rPr>
        <sz val="10"/>
        <color theme="1"/>
        <rFont val="Arial Unicode MS"/>
      </rPr>
      <t>bad</t>
    </r>
  </si>
  <si>
    <r>
      <t xml:space="preserve">Jika </t>
    </r>
    <r>
      <rPr>
        <b/>
        <sz val="11"/>
        <color theme="1"/>
        <rFont val="Aptos Narrow"/>
        <family val="2"/>
        <scheme val="minor"/>
      </rPr>
      <t>Skor &lt; h</t>
    </r>
    <r>
      <rPr>
        <sz val="11"/>
        <color theme="1"/>
        <rFont val="Aptos Narrow"/>
        <family val="2"/>
        <scheme val="minor"/>
      </rPr>
      <t xml:space="preserve"> → diklasifikasikan </t>
    </r>
    <r>
      <rPr>
        <sz val="10"/>
        <color theme="1"/>
        <rFont val="Arial Unicode MS"/>
      </rPr>
      <t>good</t>
    </r>
  </si>
  <si>
    <t xml:space="preserve">C. Besarnya kesalahan klasifikasi dari model yang terbentuk </t>
  </si>
  <si>
    <t>Nama</t>
  </si>
  <si>
    <t>Rahmandani Bardianto</t>
  </si>
  <si>
    <t>NIM</t>
  </si>
  <si>
    <t>G1401231029</t>
  </si>
  <si>
    <t>Count of status pada fisher</t>
  </si>
  <si>
    <t>good</t>
  </si>
  <si>
    <t>Total</t>
  </si>
  <si>
    <t xml:space="preserve">"bad" yang diklasifikasikan "good" </t>
  </si>
  <si>
    <t>"good" yang diklasifikasikan "bad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</si>
</sst>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11" xfId="0" applyBorder="1"/>
    <xf numFmtId="0" fontId="0" fillId="0" borderId="6" xfId="0" applyBorder="1"/>
    <xf numFmtId="0" fontId="0" fillId="0" borderId="3" xfId="0" applyBorder="1"/>
    <xf numFmtId="0" fontId="2" fillId="0" borderId="0" xfId="0" applyFont="1"/>
    <xf numFmtId="0" fontId="1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16" xfId="0" applyBorder="1"/>
    <xf numFmtId="0" fontId="0" fillId="0" borderId="10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3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8" xfId="0" applyFont="1" applyBorder="1"/>
    <xf numFmtId="0" fontId="0" fillId="2" borderId="8" xfId="0" applyFill="1" applyBorder="1"/>
    <xf numFmtId="0" fontId="0" fillId="0" borderId="14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EC51-1AD2-4370-BD98-1EF08F6BE108}">
  <dimension ref="A1:N660"/>
  <sheetViews>
    <sheetView tabSelected="1" topLeftCell="C93" zoomScaleNormal="100" workbookViewId="0">
      <selection activeCell="J135" sqref="J135"/>
    </sheetView>
  </sheetViews>
  <sheetFormatPr defaultRowHeight="15"/>
  <cols>
    <col min="1" max="1" width="22.140625" customWidth="1"/>
    <col min="2" max="2" width="18.42578125" customWidth="1"/>
    <col min="3" max="3" width="17.28515625" style="8" customWidth="1"/>
    <col min="4" max="4" width="23.7109375" style="8" customWidth="1"/>
    <col min="5" max="5" width="16" customWidth="1"/>
    <col min="6" max="6" width="24.140625" customWidth="1"/>
    <col min="9" max="9" width="31.7109375" customWidth="1"/>
    <col min="10" max="10" width="20.7109375" customWidth="1"/>
    <col min="11" max="11" width="13.5703125" customWidth="1"/>
  </cols>
  <sheetData>
    <row r="1" spans="1:14" ht="24.75" thickBot="1">
      <c r="A1" s="1" t="s">
        <v>0</v>
      </c>
      <c r="B1" s="5" t="s">
        <v>1</v>
      </c>
      <c r="C1" s="8" t="s">
        <v>5</v>
      </c>
      <c r="D1" s="14" t="s">
        <v>2</v>
      </c>
      <c r="F1" s="41" t="s">
        <v>12</v>
      </c>
      <c r="G1" s="42"/>
      <c r="H1" s="42"/>
      <c r="I1" s="42"/>
      <c r="J1" s="42"/>
      <c r="K1" s="42"/>
      <c r="L1" s="42"/>
      <c r="M1" s="42"/>
      <c r="N1" s="43"/>
    </row>
    <row r="2" spans="1:14" ht="15.75" thickBot="1">
      <c r="A2" s="2">
        <v>6</v>
      </c>
      <c r="B2" s="6">
        <v>10</v>
      </c>
      <c r="C2" s="8">
        <v>48</v>
      </c>
      <c r="D2" s="14" t="s">
        <v>3</v>
      </c>
      <c r="F2" t="s">
        <v>7</v>
      </c>
      <c r="G2" s="23">
        <f>AVERAGE(A2:A48)</f>
        <v>2.1276595744680851</v>
      </c>
      <c r="H2" s="24">
        <f>AVERAGE(B2:B48)</f>
        <v>7.1297872340425545</v>
      </c>
      <c r="I2" s="25">
        <f>AVERAGE(C2:C48)</f>
        <v>53.978723404255319</v>
      </c>
      <c r="K2" t="s">
        <v>10</v>
      </c>
      <c r="L2" s="23">
        <f>AVERAGE(A49:A101)</f>
        <v>1.679245283018868</v>
      </c>
      <c r="M2" s="24">
        <f>AVERAGE(B49:B101)</f>
        <v>11.388679245283019</v>
      </c>
      <c r="N2" s="25">
        <f>AVERAGE(C49:C101)</f>
        <v>56.339622641509436</v>
      </c>
    </row>
    <row r="3" spans="1:14" ht="15.75" thickBot="1">
      <c r="A3" s="2">
        <v>1</v>
      </c>
      <c r="B3" s="6">
        <v>9</v>
      </c>
      <c r="C3" s="8">
        <v>58</v>
      </c>
      <c r="D3" s="14" t="s">
        <v>3</v>
      </c>
    </row>
    <row r="4" spans="1:14" ht="15.75" thickBot="1">
      <c r="A4" s="2">
        <v>2</v>
      </c>
      <c r="B4" s="6">
        <v>4.8</v>
      </c>
      <c r="C4" s="8">
        <v>44</v>
      </c>
      <c r="D4" s="14" t="s">
        <v>3</v>
      </c>
      <c r="F4" t="s">
        <v>9</v>
      </c>
      <c r="G4" s="26">
        <f>A2 - $G$2</f>
        <v>3.8723404255319149</v>
      </c>
      <c r="H4" s="29">
        <f>B2 - $H$2</f>
        <v>2.8702127659574455</v>
      </c>
      <c r="I4" s="21">
        <f>C2 - $I$2</f>
        <v>-5.9787234042553195</v>
      </c>
      <c r="K4" t="s">
        <v>9</v>
      </c>
      <c r="L4" s="19">
        <f>A49 - $L$2</f>
        <v>-0.679245283018868</v>
      </c>
      <c r="M4" s="29">
        <f>B49 - $M$2</f>
        <v>5.3113207547169807</v>
      </c>
      <c r="N4" s="21">
        <f>C49 - $N$2</f>
        <v>12.660377358490564</v>
      </c>
    </row>
    <row r="5" spans="1:14" ht="15.75" thickBot="1">
      <c r="A5" s="2">
        <v>0</v>
      </c>
      <c r="B5" s="6">
        <v>4.9000000000000004</v>
      </c>
      <c r="C5" s="8">
        <v>61</v>
      </c>
      <c r="D5" s="14" t="s">
        <v>3</v>
      </c>
      <c r="G5" s="27">
        <f t="shared" ref="G5:G50" si="0">A3 - $G$2</f>
        <v>-1.1276595744680851</v>
      </c>
      <c r="H5" s="30">
        <f>B3 - $H$2</f>
        <v>1.8702127659574455</v>
      </c>
      <c r="I5" s="22">
        <f t="shared" ref="I5:I50" si="1">C3 - $I$2</f>
        <v>4.0212765957446805</v>
      </c>
      <c r="L5" s="4">
        <f t="shared" ref="L5:L56" si="2">A50 - $L$2</f>
        <v>3.3207547169811322</v>
      </c>
      <c r="M5" s="30">
        <f t="shared" ref="M5:M56" si="3">B50 - $M$2</f>
        <v>0.41132075471698215</v>
      </c>
      <c r="N5" s="22">
        <f t="shared" ref="N5:N56" si="4">C50 - $N$2</f>
        <v>-14.339622641509436</v>
      </c>
    </row>
    <row r="6" spans="1:14" ht="15.75" thickBot="1">
      <c r="A6" s="2">
        <v>1</v>
      </c>
      <c r="B6" s="6">
        <v>4.7</v>
      </c>
      <c r="C6" s="8">
        <v>43</v>
      </c>
      <c r="D6" s="14" t="s">
        <v>3</v>
      </c>
      <c r="G6" s="27">
        <f t="shared" si="0"/>
        <v>-0.12765957446808507</v>
      </c>
      <c r="H6" s="30">
        <f t="shared" ref="H6:H50" si="5">B4 - $H$2</f>
        <v>-2.3297872340425547</v>
      </c>
      <c r="I6" s="22">
        <f t="shared" si="1"/>
        <v>-9.9787234042553195</v>
      </c>
      <c r="L6" s="4">
        <f t="shared" si="2"/>
        <v>0.320754716981132</v>
      </c>
      <c r="M6" s="30">
        <f t="shared" si="3"/>
        <v>-0.78867924528301891</v>
      </c>
      <c r="N6" s="22">
        <f t="shared" si="4"/>
        <v>-17.339622641509436</v>
      </c>
    </row>
    <row r="7" spans="1:14" ht="15.75" thickBot="1">
      <c r="A7" s="2">
        <v>3</v>
      </c>
      <c r="B7" s="6">
        <v>2.4</v>
      </c>
      <c r="C7" s="8">
        <v>53</v>
      </c>
      <c r="D7" s="14" t="s">
        <v>3</v>
      </c>
      <c r="E7" s="53" t="s">
        <v>35</v>
      </c>
      <c r="F7" s="53" t="s">
        <v>36</v>
      </c>
      <c r="G7" s="32">
        <f t="shared" si="0"/>
        <v>-2.1276595744680851</v>
      </c>
      <c r="H7" s="30">
        <f t="shared" si="5"/>
        <v>-2.2297872340425542</v>
      </c>
      <c r="I7" s="22">
        <f t="shared" si="1"/>
        <v>7.0212765957446805</v>
      </c>
      <c r="L7" s="4">
        <f t="shared" si="2"/>
        <v>1.320754716981132</v>
      </c>
      <c r="M7" s="30">
        <f t="shared" si="3"/>
        <v>-5.3886792452830186</v>
      </c>
      <c r="N7" s="22">
        <f t="shared" si="4"/>
        <v>11.660377358490564</v>
      </c>
    </row>
    <row r="8" spans="1:14" ht="15.75" thickBot="1">
      <c r="A8" s="2">
        <v>3</v>
      </c>
      <c r="B8" s="6">
        <v>4.5999999999999996</v>
      </c>
      <c r="C8" s="8">
        <v>46</v>
      </c>
      <c r="D8" s="14" t="s">
        <v>3</v>
      </c>
      <c r="E8" s="53" t="s">
        <v>37</v>
      </c>
      <c r="F8" s="53" t="s">
        <v>38</v>
      </c>
      <c r="G8" s="32">
        <f t="shared" si="0"/>
        <v>-1.1276595744680851</v>
      </c>
      <c r="H8" s="30">
        <f t="shared" si="5"/>
        <v>-2.4297872340425544</v>
      </c>
      <c r="I8" s="22">
        <f t="shared" si="1"/>
        <v>-10.978723404255319</v>
      </c>
      <c r="L8" s="4">
        <f t="shared" si="2"/>
        <v>0.320754716981132</v>
      </c>
      <c r="M8" s="30">
        <f t="shared" si="3"/>
        <v>2.2113207547169811</v>
      </c>
      <c r="N8" s="22">
        <f t="shared" si="4"/>
        <v>-1.3396226415094361</v>
      </c>
    </row>
    <row r="9" spans="1:14" ht="15.75" thickBot="1">
      <c r="A9" s="2">
        <v>2</v>
      </c>
      <c r="B9" s="6">
        <v>4.9000000000000004</v>
      </c>
      <c r="C9" s="8">
        <v>65</v>
      </c>
      <c r="D9" s="14" t="s">
        <v>3</v>
      </c>
      <c r="G9" s="27">
        <f t="shared" si="0"/>
        <v>0.87234042553191493</v>
      </c>
      <c r="H9" s="30">
        <f t="shared" si="5"/>
        <v>-4.7297872340425542</v>
      </c>
      <c r="I9" s="22">
        <f t="shared" si="1"/>
        <v>-0.97872340425531945</v>
      </c>
      <c r="L9" s="4">
        <f t="shared" si="2"/>
        <v>-1.679245283018868</v>
      </c>
      <c r="M9" s="30">
        <f t="shared" si="3"/>
        <v>-2.8886792452830186</v>
      </c>
      <c r="N9" s="22">
        <f t="shared" si="4"/>
        <v>1.6603773584905639</v>
      </c>
    </row>
    <row r="10" spans="1:14" ht="15.75" thickBot="1">
      <c r="A10" s="2">
        <v>4</v>
      </c>
      <c r="B10" s="6">
        <v>8</v>
      </c>
      <c r="C10" s="8">
        <v>44</v>
      </c>
      <c r="D10" s="14" t="s">
        <v>3</v>
      </c>
      <c r="G10" s="27">
        <f t="shared" si="0"/>
        <v>0.87234042553191493</v>
      </c>
      <c r="H10" s="30">
        <f t="shared" si="5"/>
        <v>-2.5297872340425549</v>
      </c>
      <c r="I10" s="22">
        <f t="shared" si="1"/>
        <v>-7.9787234042553195</v>
      </c>
      <c r="L10" s="4">
        <f t="shared" si="2"/>
        <v>0.320754716981132</v>
      </c>
      <c r="M10" s="30">
        <f t="shared" si="3"/>
        <v>-1.2886792452830189</v>
      </c>
      <c r="N10" s="22">
        <f t="shared" si="4"/>
        <v>2.6603773584905639</v>
      </c>
    </row>
    <row r="11" spans="1:14" ht="15.75" thickBot="1">
      <c r="A11" s="2">
        <v>1</v>
      </c>
      <c r="B11" s="6">
        <v>8.3000000000000007</v>
      </c>
      <c r="C11" s="8">
        <v>58</v>
      </c>
      <c r="D11" s="14" t="s">
        <v>3</v>
      </c>
      <c r="G11" s="27">
        <f t="shared" si="0"/>
        <v>-0.12765957446808507</v>
      </c>
      <c r="H11" s="30">
        <f t="shared" si="5"/>
        <v>-2.2297872340425542</v>
      </c>
      <c r="I11" s="22">
        <f t="shared" si="1"/>
        <v>11.021276595744681</v>
      </c>
      <c r="L11" s="4">
        <f t="shared" si="2"/>
        <v>-1.679245283018868</v>
      </c>
      <c r="M11" s="30">
        <f t="shared" si="3"/>
        <v>2.7113207547169811</v>
      </c>
      <c r="N11" s="22">
        <f t="shared" si="4"/>
        <v>2.6603773584905639</v>
      </c>
    </row>
    <row r="12" spans="1:14" ht="15.75" thickBot="1">
      <c r="A12" s="2">
        <v>3</v>
      </c>
      <c r="B12" s="6">
        <v>8</v>
      </c>
      <c r="C12" s="8">
        <v>58</v>
      </c>
      <c r="D12" s="14" t="s">
        <v>3</v>
      </c>
      <c r="G12" s="27">
        <f t="shared" si="0"/>
        <v>1.8723404255319149</v>
      </c>
      <c r="H12" s="30">
        <f t="shared" si="5"/>
        <v>0.87021276595744546</v>
      </c>
      <c r="I12" s="22">
        <f t="shared" si="1"/>
        <v>-9.9787234042553195</v>
      </c>
      <c r="L12" s="4">
        <f t="shared" si="2"/>
        <v>-1.679245283018868</v>
      </c>
      <c r="M12" s="30">
        <f t="shared" si="3"/>
        <v>-2.9886792452830182</v>
      </c>
      <c r="N12" s="22">
        <f t="shared" si="4"/>
        <v>-0.33962264150943611</v>
      </c>
    </row>
    <row r="13" spans="1:14" ht="15.75" thickBot="1">
      <c r="A13" s="2">
        <v>1</v>
      </c>
      <c r="B13" s="6">
        <v>4.2</v>
      </c>
      <c r="C13" s="8">
        <v>45</v>
      </c>
      <c r="D13" s="14" t="s">
        <v>3</v>
      </c>
      <c r="G13" s="27">
        <f t="shared" si="0"/>
        <v>-1.1276595744680851</v>
      </c>
      <c r="H13" s="30">
        <f t="shared" si="5"/>
        <v>1.1702127659574462</v>
      </c>
      <c r="I13" s="22">
        <f t="shared" si="1"/>
        <v>4.0212765957446805</v>
      </c>
      <c r="L13" s="4">
        <f t="shared" si="2"/>
        <v>0.320754716981132</v>
      </c>
      <c r="M13" s="30">
        <f t="shared" si="3"/>
        <v>-2.1886792452830193</v>
      </c>
      <c r="N13" s="22">
        <f t="shared" si="4"/>
        <v>12.660377358490564</v>
      </c>
    </row>
    <row r="14" spans="1:14" ht="15.75" thickBot="1">
      <c r="A14" s="2">
        <v>2</v>
      </c>
      <c r="B14" s="6">
        <v>3.1</v>
      </c>
      <c r="C14" s="8">
        <v>64</v>
      </c>
      <c r="D14" s="14" t="s">
        <v>3</v>
      </c>
      <c r="G14" s="27">
        <f t="shared" si="0"/>
        <v>0.87234042553191493</v>
      </c>
      <c r="H14" s="30">
        <f t="shared" si="5"/>
        <v>0.87021276595744546</v>
      </c>
      <c r="I14" s="22">
        <f t="shared" si="1"/>
        <v>4.0212765957446805</v>
      </c>
      <c r="L14" s="4">
        <f t="shared" si="2"/>
        <v>0.320754716981132</v>
      </c>
      <c r="M14" s="30">
        <f t="shared" si="3"/>
        <v>-3.6886792452830184</v>
      </c>
      <c r="N14" s="22">
        <f t="shared" si="4"/>
        <v>10.660377358490564</v>
      </c>
    </row>
    <row r="15" spans="1:14" ht="15.75" thickBot="1">
      <c r="A15" s="2">
        <v>2</v>
      </c>
      <c r="B15" s="6">
        <v>6.8</v>
      </c>
      <c r="C15" s="8">
        <v>49</v>
      </c>
      <c r="D15" s="14" t="s">
        <v>3</v>
      </c>
      <c r="G15" s="27">
        <f t="shared" si="0"/>
        <v>-1.1276595744680851</v>
      </c>
      <c r="H15" s="30">
        <f t="shared" si="5"/>
        <v>-2.9297872340425544</v>
      </c>
      <c r="I15" s="22">
        <f t="shared" si="1"/>
        <v>-8.9787234042553195</v>
      </c>
      <c r="L15" s="4">
        <f t="shared" si="2"/>
        <v>0.320754716981132</v>
      </c>
      <c r="M15" s="30">
        <f t="shared" si="3"/>
        <v>-0.68867924528301927</v>
      </c>
      <c r="N15" s="22">
        <f t="shared" si="4"/>
        <v>-8.3396226415094361</v>
      </c>
    </row>
    <row r="16" spans="1:14" ht="15.75" thickBot="1">
      <c r="A16" s="2">
        <v>2</v>
      </c>
      <c r="B16" s="6">
        <v>7.4</v>
      </c>
      <c r="C16" s="8">
        <v>43</v>
      </c>
      <c r="D16" s="14" t="s">
        <v>3</v>
      </c>
      <c r="G16" s="27">
        <f t="shared" si="0"/>
        <v>-0.12765957446808507</v>
      </c>
      <c r="H16" s="30">
        <f t="shared" si="5"/>
        <v>-4.0297872340425549</v>
      </c>
      <c r="I16" s="22">
        <f t="shared" si="1"/>
        <v>10.021276595744681</v>
      </c>
      <c r="L16" s="4">
        <f t="shared" si="2"/>
        <v>0.320754716981132</v>
      </c>
      <c r="M16" s="30">
        <f t="shared" si="3"/>
        <v>1.1113207547169814</v>
      </c>
      <c r="N16" s="22">
        <f t="shared" si="4"/>
        <v>-1.3396226415094361</v>
      </c>
    </row>
    <row r="17" spans="1:14" ht="15.75" thickBot="1">
      <c r="A17" s="2">
        <v>1</v>
      </c>
      <c r="B17" s="6">
        <v>7</v>
      </c>
      <c r="C17" s="8">
        <v>43</v>
      </c>
      <c r="D17" s="14" t="s">
        <v>3</v>
      </c>
      <c r="G17" s="27">
        <f t="shared" si="0"/>
        <v>-0.12765957446808507</v>
      </c>
      <c r="H17" s="30">
        <f t="shared" si="5"/>
        <v>-0.32978723404255472</v>
      </c>
      <c r="I17" s="22">
        <f t="shared" si="1"/>
        <v>-4.9787234042553195</v>
      </c>
      <c r="L17" s="4">
        <f t="shared" si="2"/>
        <v>0.320754716981132</v>
      </c>
      <c r="M17" s="30">
        <f t="shared" si="3"/>
        <v>-2.2886792452830189</v>
      </c>
      <c r="N17" s="22">
        <f t="shared" si="4"/>
        <v>8.6603773584905639</v>
      </c>
    </row>
    <row r="18" spans="1:14" ht="15.75" thickBot="1">
      <c r="A18" s="2">
        <v>1</v>
      </c>
      <c r="B18" s="6">
        <v>7.8</v>
      </c>
      <c r="C18" s="8">
        <v>57</v>
      </c>
      <c r="D18" s="14" t="s">
        <v>3</v>
      </c>
      <c r="G18" s="27">
        <f t="shared" si="0"/>
        <v>-0.12765957446808507</v>
      </c>
      <c r="H18" s="30">
        <f t="shared" si="5"/>
        <v>0.27021276595744581</v>
      </c>
      <c r="I18" s="22">
        <f t="shared" si="1"/>
        <v>-10.978723404255319</v>
      </c>
      <c r="L18" s="4">
        <f t="shared" si="2"/>
        <v>0.320754716981132</v>
      </c>
      <c r="M18" s="30">
        <f t="shared" si="3"/>
        <v>0.41132075471698215</v>
      </c>
      <c r="N18" s="22">
        <f t="shared" si="4"/>
        <v>-1.3396226415094361</v>
      </c>
    </row>
    <row r="19" spans="1:14" ht="15.75" thickBot="1">
      <c r="A19" s="2">
        <v>1</v>
      </c>
      <c r="B19" s="6">
        <v>8.1999999999999993</v>
      </c>
      <c r="C19" s="8">
        <v>58</v>
      </c>
      <c r="D19" s="14" t="s">
        <v>3</v>
      </c>
      <c r="G19" s="27">
        <f t="shared" si="0"/>
        <v>-1.1276595744680851</v>
      </c>
      <c r="H19" s="30">
        <f t="shared" si="5"/>
        <v>-0.12978723404255454</v>
      </c>
      <c r="I19" s="22">
        <f t="shared" si="1"/>
        <v>-10.978723404255319</v>
      </c>
      <c r="L19" s="4">
        <f t="shared" si="2"/>
        <v>-0.679245283018868</v>
      </c>
      <c r="M19" s="30">
        <f t="shared" si="3"/>
        <v>0.5113207547169818</v>
      </c>
      <c r="N19" s="22">
        <f t="shared" si="4"/>
        <v>-5.3396226415094361</v>
      </c>
    </row>
    <row r="20" spans="1:14" ht="15.75" thickBot="1">
      <c r="A20" s="2">
        <v>0</v>
      </c>
      <c r="B20" s="6">
        <v>4.5</v>
      </c>
      <c r="C20" s="8">
        <v>52</v>
      </c>
      <c r="D20" s="14" t="s">
        <v>3</v>
      </c>
      <c r="G20" s="27">
        <f t="shared" si="0"/>
        <v>-1.1276595744680851</v>
      </c>
      <c r="H20" s="30">
        <f t="shared" si="5"/>
        <v>0.67021276595744528</v>
      </c>
      <c r="I20" s="22">
        <f t="shared" si="1"/>
        <v>3.0212765957446805</v>
      </c>
      <c r="L20" s="4">
        <f t="shared" si="2"/>
        <v>-0.679245283018868</v>
      </c>
      <c r="M20" s="30">
        <f t="shared" si="3"/>
        <v>-1.9886792452830182</v>
      </c>
      <c r="N20" s="22">
        <f t="shared" si="4"/>
        <v>11.660377358490564</v>
      </c>
    </row>
    <row r="21" spans="1:14" ht="15.75" thickBot="1">
      <c r="A21" s="2">
        <v>3</v>
      </c>
      <c r="B21" s="6">
        <v>8.1</v>
      </c>
      <c r="C21" s="8">
        <v>48</v>
      </c>
      <c r="D21" s="14" t="s">
        <v>3</v>
      </c>
      <c r="G21" s="27">
        <f t="shared" si="0"/>
        <v>-1.1276595744680851</v>
      </c>
      <c r="H21" s="30">
        <f t="shared" si="5"/>
        <v>1.0702127659574447</v>
      </c>
      <c r="I21" s="22">
        <f t="shared" si="1"/>
        <v>4.0212765957446805</v>
      </c>
      <c r="L21" s="4">
        <f t="shared" si="2"/>
        <v>-0.679245283018868</v>
      </c>
      <c r="M21" s="30">
        <f t="shared" si="3"/>
        <v>-0.68867924528301927</v>
      </c>
      <c r="N21" s="22">
        <f t="shared" si="4"/>
        <v>-7.3396226415094361</v>
      </c>
    </row>
    <row r="22" spans="1:14" ht="15.75" thickBot="1">
      <c r="A22" s="2">
        <v>2</v>
      </c>
      <c r="B22" s="6">
        <v>6.6</v>
      </c>
      <c r="C22" s="8">
        <v>57</v>
      </c>
      <c r="D22" s="14" t="s">
        <v>3</v>
      </c>
      <c r="G22" s="27">
        <f t="shared" si="0"/>
        <v>-2.1276595744680851</v>
      </c>
      <c r="H22" s="30">
        <f t="shared" si="5"/>
        <v>-2.6297872340425545</v>
      </c>
      <c r="I22" s="22">
        <f t="shared" si="1"/>
        <v>-1.9787234042553195</v>
      </c>
      <c r="L22" s="4">
        <f t="shared" si="2"/>
        <v>2.3207547169811322</v>
      </c>
      <c r="M22" s="30">
        <f t="shared" si="3"/>
        <v>3.7113207547169811</v>
      </c>
      <c r="N22" s="22">
        <f t="shared" si="4"/>
        <v>9.6603773584905639</v>
      </c>
    </row>
    <row r="23" spans="1:14" ht="15.75" thickBot="1">
      <c r="A23" s="2">
        <v>4</v>
      </c>
      <c r="B23" s="6">
        <v>19.8</v>
      </c>
      <c r="C23" s="8">
        <v>50</v>
      </c>
      <c r="D23" s="14" t="s">
        <v>3</v>
      </c>
      <c r="G23" s="27">
        <f t="shared" si="0"/>
        <v>0.87234042553191493</v>
      </c>
      <c r="H23" s="30">
        <f t="shared" si="5"/>
        <v>0.9702127659574451</v>
      </c>
      <c r="I23" s="22">
        <f t="shared" si="1"/>
        <v>-5.9787234042553195</v>
      </c>
      <c r="L23" s="4">
        <f t="shared" si="2"/>
        <v>1.320754716981132</v>
      </c>
      <c r="M23" s="30">
        <f t="shared" si="3"/>
        <v>4.5113207547169818</v>
      </c>
      <c r="N23" s="22">
        <f t="shared" si="4"/>
        <v>12.660377358490564</v>
      </c>
    </row>
    <row r="24" spans="1:14" ht="15.75" thickBot="1">
      <c r="A24" s="2">
        <v>1</v>
      </c>
      <c r="B24" s="6">
        <v>7.8</v>
      </c>
      <c r="C24" s="8">
        <v>43</v>
      </c>
      <c r="D24" s="14" t="s">
        <v>3</v>
      </c>
      <c r="G24" s="27">
        <f t="shared" si="0"/>
        <v>-0.12765957446808507</v>
      </c>
      <c r="H24" s="30">
        <f t="shared" si="5"/>
        <v>-0.5297872340425549</v>
      </c>
      <c r="I24" s="22">
        <f t="shared" si="1"/>
        <v>3.0212765957446805</v>
      </c>
      <c r="L24" s="4">
        <f t="shared" si="2"/>
        <v>0.320754716981132</v>
      </c>
      <c r="M24" s="30">
        <f t="shared" si="3"/>
        <v>2.3113207547169807</v>
      </c>
      <c r="N24" s="22">
        <f t="shared" si="4"/>
        <v>9.6603773584905639</v>
      </c>
    </row>
    <row r="25" spans="1:14" ht="15.75" thickBot="1">
      <c r="A25" s="2">
        <v>2</v>
      </c>
      <c r="B25" s="6">
        <v>4.5999999999999996</v>
      </c>
      <c r="C25" s="8">
        <v>55</v>
      </c>
      <c r="D25" s="14" t="s">
        <v>3</v>
      </c>
      <c r="G25" s="27">
        <f t="shared" si="0"/>
        <v>1.8723404255319149</v>
      </c>
      <c r="H25" s="30">
        <f t="shared" si="5"/>
        <v>12.670212765957446</v>
      </c>
      <c r="I25" s="22">
        <f t="shared" si="1"/>
        <v>-3.9787234042553195</v>
      </c>
      <c r="L25" s="4">
        <f t="shared" si="2"/>
        <v>1.320754716981132</v>
      </c>
      <c r="M25" s="30">
        <f t="shared" si="3"/>
        <v>1.2113207547169811</v>
      </c>
      <c r="N25" s="22">
        <f t="shared" si="4"/>
        <v>3.6603773584905639</v>
      </c>
    </row>
    <row r="26" spans="1:14" ht="15.75" thickBot="1">
      <c r="A26" s="2">
        <v>0</v>
      </c>
      <c r="B26" s="6">
        <v>7.4</v>
      </c>
      <c r="C26" s="8">
        <v>54</v>
      </c>
      <c r="D26" s="14" t="s">
        <v>3</v>
      </c>
      <c r="G26" s="27">
        <f t="shared" si="0"/>
        <v>-1.1276595744680851</v>
      </c>
      <c r="H26" s="30">
        <f t="shared" si="5"/>
        <v>0.67021276595744528</v>
      </c>
      <c r="I26" s="22">
        <f t="shared" si="1"/>
        <v>-10.978723404255319</v>
      </c>
      <c r="L26" s="4">
        <f t="shared" si="2"/>
        <v>-0.679245283018868</v>
      </c>
      <c r="M26" s="30">
        <f t="shared" si="3"/>
        <v>0.71132075471698109</v>
      </c>
      <c r="N26" s="22">
        <f t="shared" si="4"/>
        <v>-4.3396226415094361</v>
      </c>
    </row>
    <row r="27" spans="1:14" ht="15.75" thickBot="1">
      <c r="A27" s="2">
        <v>4</v>
      </c>
      <c r="B27" s="6">
        <v>5.5</v>
      </c>
      <c r="C27" s="8">
        <v>55</v>
      </c>
      <c r="D27" s="14" t="s">
        <v>3</v>
      </c>
      <c r="G27" s="27">
        <f t="shared" si="0"/>
        <v>-0.12765957446808507</v>
      </c>
      <c r="H27" s="30">
        <f t="shared" si="5"/>
        <v>-2.5297872340425549</v>
      </c>
      <c r="I27" s="22">
        <f t="shared" si="1"/>
        <v>1.0212765957446805</v>
      </c>
      <c r="L27" s="4">
        <f t="shared" si="2"/>
        <v>0.320754716981132</v>
      </c>
      <c r="M27" s="30">
        <f t="shared" si="3"/>
        <v>-8.8679245283017849E-2</v>
      </c>
      <c r="N27" s="22">
        <f t="shared" si="4"/>
        <v>-7.3396226415094361</v>
      </c>
    </row>
    <row r="28" spans="1:14" ht="15.75" thickBot="1">
      <c r="A28" s="2">
        <v>3</v>
      </c>
      <c r="B28" s="6">
        <v>16.399999999999999</v>
      </c>
      <c r="C28" s="8">
        <v>62</v>
      </c>
      <c r="D28" s="14" t="s">
        <v>3</v>
      </c>
      <c r="G28" s="27">
        <f t="shared" si="0"/>
        <v>-2.1276595744680851</v>
      </c>
      <c r="H28" s="30">
        <f t="shared" si="5"/>
        <v>0.27021276595744581</v>
      </c>
      <c r="I28" s="22">
        <f t="shared" si="1"/>
        <v>2.1276595744680549E-2</v>
      </c>
      <c r="L28" s="4">
        <f t="shared" si="2"/>
        <v>-1.679245283018868</v>
      </c>
      <c r="M28" s="30">
        <f t="shared" si="3"/>
        <v>1.1113207547169814</v>
      </c>
      <c r="N28" s="22">
        <f t="shared" si="4"/>
        <v>5.6603773584905639</v>
      </c>
    </row>
    <row r="29" spans="1:14" ht="15.75" thickBot="1">
      <c r="A29" s="2">
        <v>1</v>
      </c>
      <c r="B29" s="6">
        <v>7.6</v>
      </c>
      <c r="C29" s="8">
        <v>43</v>
      </c>
      <c r="D29" s="14" t="s">
        <v>3</v>
      </c>
      <c r="G29" s="27">
        <f t="shared" si="0"/>
        <v>1.8723404255319149</v>
      </c>
      <c r="H29" s="30">
        <f t="shared" si="5"/>
        <v>-1.6297872340425545</v>
      </c>
      <c r="I29" s="22">
        <f t="shared" si="1"/>
        <v>1.0212765957446805</v>
      </c>
      <c r="L29" s="4">
        <f t="shared" si="2"/>
        <v>0.320754716981132</v>
      </c>
      <c r="M29" s="30">
        <f t="shared" si="3"/>
        <v>-8.8679245283017849E-2</v>
      </c>
      <c r="N29" s="22">
        <f t="shared" si="4"/>
        <v>-7.3396226415094361</v>
      </c>
    </row>
    <row r="30" spans="1:14" ht="15.75" thickBot="1">
      <c r="A30" s="2">
        <v>2</v>
      </c>
      <c r="B30" s="6">
        <v>4.9000000000000004</v>
      </c>
      <c r="C30" s="8">
        <v>64</v>
      </c>
      <c r="D30" s="14" t="s">
        <v>3</v>
      </c>
      <c r="G30" s="27">
        <f t="shared" si="0"/>
        <v>0.87234042553191493</v>
      </c>
      <c r="H30" s="30">
        <f t="shared" si="5"/>
        <v>9.270212765957444</v>
      </c>
      <c r="I30" s="22">
        <f t="shared" si="1"/>
        <v>8.0212765957446805</v>
      </c>
      <c r="L30" s="4">
        <f t="shared" si="2"/>
        <v>-0.679245283018868</v>
      </c>
      <c r="M30" s="30">
        <f t="shared" si="3"/>
        <v>-0.88867924528301856</v>
      </c>
      <c r="N30" s="22">
        <f t="shared" si="4"/>
        <v>-17.339622641509436</v>
      </c>
    </row>
    <row r="31" spans="1:14" ht="15.75" thickBot="1">
      <c r="A31" s="2">
        <v>2</v>
      </c>
      <c r="B31" s="6">
        <v>4.2</v>
      </c>
      <c r="C31" s="8">
        <v>64</v>
      </c>
      <c r="D31" s="14" t="s">
        <v>3</v>
      </c>
      <c r="G31" s="27">
        <f t="shared" si="0"/>
        <v>-1.1276595744680851</v>
      </c>
      <c r="H31" s="30">
        <f t="shared" si="5"/>
        <v>0.4702127659574451</v>
      </c>
      <c r="I31" s="22">
        <f t="shared" si="1"/>
        <v>-10.978723404255319</v>
      </c>
      <c r="L31" s="4">
        <f t="shared" si="2"/>
        <v>0.320754716981132</v>
      </c>
      <c r="M31" s="30">
        <f t="shared" si="3"/>
        <v>-1.5886792452830178</v>
      </c>
      <c r="N31" s="22">
        <f t="shared" si="4"/>
        <v>-17.339622641509436</v>
      </c>
    </row>
    <row r="32" spans="1:14" ht="15.75" thickBot="1">
      <c r="A32" s="2">
        <v>1</v>
      </c>
      <c r="B32" s="6">
        <v>9</v>
      </c>
      <c r="C32" s="8">
        <v>46</v>
      </c>
      <c r="D32" s="14" t="s">
        <v>3</v>
      </c>
      <c r="G32" s="27">
        <f t="shared" si="0"/>
        <v>-0.12765957446808507</v>
      </c>
      <c r="H32" s="30">
        <f t="shared" si="5"/>
        <v>-2.2297872340425542</v>
      </c>
      <c r="I32" s="22">
        <f t="shared" si="1"/>
        <v>10.021276595744681</v>
      </c>
      <c r="L32" s="4">
        <f t="shared" si="2"/>
        <v>-1.679245283018868</v>
      </c>
      <c r="M32" s="30">
        <f t="shared" si="3"/>
        <v>-1.2886792452830189</v>
      </c>
      <c r="N32" s="22">
        <f t="shared" si="4"/>
        <v>-8.3396226415094361</v>
      </c>
    </row>
    <row r="33" spans="1:14" ht="15.75" thickBot="1">
      <c r="A33" s="2">
        <v>4</v>
      </c>
      <c r="B33" s="6">
        <v>9.1999999999999993</v>
      </c>
      <c r="C33" s="8">
        <v>48</v>
      </c>
      <c r="D33" s="14" t="s">
        <v>3</v>
      </c>
      <c r="G33" s="27">
        <f t="shared" si="0"/>
        <v>-0.12765957446808507</v>
      </c>
      <c r="H33" s="30">
        <f t="shared" si="5"/>
        <v>-2.9297872340425544</v>
      </c>
      <c r="I33" s="22">
        <f t="shared" si="1"/>
        <v>10.021276595744681</v>
      </c>
      <c r="L33" s="4">
        <f t="shared" si="2"/>
        <v>2.3207547169811322</v>
      </c>
      <c r="M33" s="30">
        <f t="shared" si="3"/>
        <v>-6.5886792452830187</v>
      </c>
      <c r="N33" s="22">
        <f t="shared" si="4"/>
        <v>12.660377358490564</v>
      </c>
    </row>
    <row r="34" spans="1:14" ht="15.75" thickBot="1">
      <c r="A34" s="2">
        <v>5</v>
      </c>
      <c r="B34" s="6">
        <v>4.5999999999999996</v>
      </c>
      <c r="C34" s="8">
        <v>58</v>
      </c>
      <c r="D34" s="14" t="s">
        <v>3</v>
      </c>
      <c r="G34" s="27">
        <f t="shared" si="0"/>
        <v>-1.1276595744680851</v>
      </c>
      <c r="H34" s="30">
        <f t="shared" si="5"/>
        <v>1.8702127659574455</v>
      </c>
      <c r="I34" s="22">
        <f t="shared" si="1"/>
        <v>-7.9787234042553195</v>
      </c>
      <c r="L34" s="4">
        <f t="shared" si="2"/>
        <v>-0.679245283018868</v>
      </c>
      <c r="M34" s="30">
        <f t="shared" si="3"/>
        <v>1.5113207547169818</v>
      </c>
      <c r="N34" s="22">
        <f t="shared" si="4"/>
        <v>-0.33962264150943611</v>
      </c>
    </row>
    <row r="35" spans="1:14" ht="15.75" thickBot="1">
      <c r="A35" s="2">
        <v>2</v>
      </c>
      <c r="B35" s="6">
        <v>6.4</v>
      </c>
      <c r="C35" s="8">
        <v>67</v>
      </c>
      <c r="D35" s="14" t="s">
        <v>3</v>
      </c>
      <c r="G35" s="27">
        <f t="shared" si="0"/>
        <v>1.8723404255319149</v>
      </c>
      <c r="H35" s="30">
        <f t="shared" si="5"/>
        <v>2.0702127659574447</v>
      </c>
      <c r="I35" s="22">
        <f t="shared" si="1"/>
        <v>-5.9787234042553195</v>
      </c>
      <c r="L35" s="4">
        <f t="shared" si="2"/>
        <v>0.320754716981132</v>
      </c>
      <c r="M35" s="30">
        <f t="shared" si="3"/>
        <v>1.7113207547169811</v>
      </c>
      <c r="N35" s="22">
        <f t="shared" si="4"/>
        <v>9.6603773584905639</v>
      </c>
    </row>
    <row r="36" spans="1:14" ht="15.75" thickBot="1">
      <c r="A36" s="2">
        <v>2</v>
      </c>
      <c r="B36" s="6">
        <v>6</v>
      </c>
      <c r="C36" s="8">
        <v>50</v>
      </c>
      <c r="D36" s="14" t="s">
        <v>3</v>
      </c>
      <c r="G36" s="27">
        <f t="shared" si="0"/>
        <v>2.8723404255319149</v>
      </c>
      <c r="H36" s="30">
        <f t="shared" si="5"/>
        <v>-2.5297872340425549</v>
      </c>
      <c r="I36" s="22">
        <f t="shared" si="1"/>
        <v>4.0212765957446805</v>
      </c>
      <c r="L36" s="4">
        <f t="shared" si="2"/>
        <v>-0.679245283018868</v>
      </c>
      <c r="M36" s="30">
        <f t="shared" si="3"/>
        <v>-3.4886792452830182</v>
      </c>
      <c r="N36" s="22">
        <f t="shared" si="4"/>
        <v>6.6603773584905639</v>
      </c>
    </row>
    <row r="37" spans="1:14" ht="15.75" thickBot="1">
      <c r="A37" s="2">
        <v>1</v>
      </c>
      <c r="B37" s="6">
        <v>10.5</v>
      </c>
      <c r="C37" s="8">
        <v>54</v>
      </c>
      <c r="D37" s="14" t="s">
        <v>3</v>
      </c>
      <c r="G37" s="27">
        <f t="shared" si="0"/>
        <v>-0.12765957446808507</v>
      </c>
      <c r="H37" s="30">
        <f t="shared" si="5"/>
        <v>-0.72978723404255419</v>
      </c>
      <c r="I37" s="22">
        <f t="shared" si="1"/>
        <v>13.021276595744681</v>
      </c>
      <c r="L37" s="4">
        <f t="shared" si="2"/>
        <v>-0.679245283018868</v>
      </c>
      <c r="M37" s="30">
        <f t="shared" si="3"/>
        <v>-4.8886792452830186</v>
      </c>
      <c r="N37" s="22">
        <f t="shared" si="4"/>
        <v>3.6603773584905639</v>
      </c>
    </row>
    <row r="38" spans="1:14" ht="15.75" thickBot="1">
      <c r="A38" s="2">
        <v>2</v>
      </c>
      <c r="B38" s="6">
        <v>8.9</v>
      </c>
      <c r="C38" s="8">
        <v>64</v>
      </c>
      <c r="D38" s="14" t="s">
        <v>3</v>
      </c>
      <c r="G38" s="27">
        <f t="shared" si="0"/>
        <v>-0.12765957446808507</v>
      </c>
      <c r="H38" s="30">
        <f t="shared" si="5"/>
        <v>-1.1297872340425545</v>
      </c>
      <c r="I38" s="22">
        <f t="shared" si="1"/>
        <v>-3.9787234042553195</v>
      </c>
      <c r="L38" s="4">
        <f t="shared" si="2"/>
        <v>2.3207547169811322</v>
      </c>
      <c r="M38" s="30">
        <f t="shared" si="3"/>
        <v>1.8113207547169807</v>
      </c>
      <c r="N38" s="22">
        <f t="shared" si="4"/>
        <v>-14.339622641509436</v>
      </c>
    </row>
    <row r="39" spans="1:14" ht="15.75" thickBot="1">
      <c r="A39" s="2">
        <v>3</v>
      </c>
      <c r="B39" s="6">
        <v>12.1</v>
      </c>
      <c r="C39" s="8">
        <v>51</v>
      </c>
      <c r="D39" s="14" t="s">
        <v>3</v>
      </c>
      <c r="G39" s="27">
        <f t="shared" si="0"/>
        <v>-1.1276595744680851</v>
      </c>
      <c r="H39" s="30">
        <f t="shared" si="5"/>
        <v>3.3702127659574455</v>
      </c>
      <c r="I39" s="22">
        <f t="shared" si="1"/>
        <v>2.1276595744680549E-2</v>
      </c>
      <c r="L39" s="4">
        <f t="shared" si="2"/>
        <v>0.320754716981132</v>
      </c>
      <c r="M39" s="30">
        <f t="shared" si="3"/>
        <v>-4.8886792452830186</v>
      </c>
      <c r="N39" s="22">
        <f t="shared" si="4"/>
        <v>-9.3396226415094361</v>
      </c>
    </row>
    <row r="40" spans="1:14" ht="15.75" thickBot="1">
      <c r="A40" s="2">
        <v>4</v>
      </c>
      <c r="B40" s="6">
        <v>9.5</v>
      </c>
      <c r="C40" s="8">
        <v>62</v>
      </c>
      <c r="D40" s="14" t="s">
        <v>3</v>
      </c>
      <c r="G40" s="27">
        <f t="shared" si="0"/>
        <v>-0.12765957446808507</v>
      </c>
      <c r="H40" s="30">
        <f t="shared" si="5"/>
        <v>1.7702127659574458</v>
      </c>
      <c r="I40" s="22">
        <f t="shared" si="1"/>
        <v>10.021276595744681</v>
      </c>
      <c r="L40" s="4">
        <f t="shared" si="2"/>
        <v>-1.679245283018868</v>
      </c>
      <c r="M40" s="30">
        <f t="shared" si="3"/>
        <v>-6.6886792452830184</v>
      </c>
      <c r="N40" s="22">
        <f t="shared" si="4"/>
        <v>-10.339622641509436</v>
      </c>
    </row>
    <row r="41" spans="1:14" ht="15.75" thickBot="1">
      <c r="A41" s="2">
        <v>2</v>
      </c>
      <c r="B41" s="6">
        <v>9.1</v>
      </c>
      <c r="C41" s="8">
        <v>53</v>
      </c>
      <c r="D41" s="14" t="s">
        <v>3</v>
      </c>
      <c r="G41" s="27">
        <f t="shared" si="0"/>
        <v>0.87234042553191493</v>
      </c>
      <c r="H41" s="30">
        <f t="shared" si="5"/>
        <v>4.9702127659574451</v>
      </c>
      <c r="I41" s="22">
        <f t="shared" si="1"/>
        <v>-2.9787234042553195</v>
      </c>
      <c r="L41" s="4">
        <f t="shared" si="2"/>
        <v>-1.679245283018868</v>
      </c>
      <c r="M41" s="30">
        <f t="shared" si="3"/>
        <v>-3.3886792452830186</v>
      </c>
      <c r="N41" s="22">
        <f t="shared" si="4"/>
        <v>-1.3396226415094361</v>
      </c>
    </row>
    <row r="42" spans="1:14" ht="15.75" thickBot="1">
      <c r="A42" s="2">
        <v>3</v>
      </c>
      <c r="B42" s="6">
        <v>7.1</v>
      </c>
      <c r="C42" s="8">
        <v>63</v>
      </c>
      <c r="D42" s="14" t="s">
        <v>3</v>
      </c>
      <c r="G42" s="27">
        <f t="shared" si="0"/>
        <v>1.8723404255319149</v>
      </c>
      <c r="H42" s="30">
        <f t="shared" si="5"/>
        <v>2.3702127659574455</v>
      </c>
      <c r="I42" s="22">
        <f t="shared" si="1"/>
        <v>8.0212765957446805</v>
      </c>
      <c r="L42" s="4">
        <f t="shared" si="2"/>
        <v>1.320754716981132</v>
      </c>
      <c r="M42" s="30">
        <f t="shared" si="3"/>
        <v>2.5113207547169818</v>
      </c>
      <c r="N42" s="22">
        <f t="shared" si="4"/>
        <v>6.6603773584905639</v>
      </c>
    </row>
    <row r="43" spans="1:14" ht="15.75" thickBot="1">
      <c r="A43" s="2">
        <v>3</v>
      </c>
      <c r="B43" s="6">
        <v>4.0999999999999996</v>
      </c>
      <c r="C43" s="8">
        <v>59</v>
      </c>
      <c r="D43" s="14" t="s">
        <v>3</v>
      </c>
      <c r="G43" s="27">
        <f t="shared" si="0"/>
        <v>-0.12765957446808507</v>
      </c>
      <c r="H43" s="30">
        <f t="shared" si="5"/>
        <v>1.9702127659574451</v>
      </c>
      <c r="I43" s="22">
        <f t="shared" si="1"/>
        <v>-0.97872340425531945</v>
      </c>
      <c r="L43" s="4">
        <f t="shared" si="2"/>
        <v>-1.679245283018868</v>
      </c>
      <c r="M43" s="30">
        <f t="shared" si="3"/>
        <v>1.1320754716981796E-2</v>
      </c>
      <c r="N43" s="22">
        <f t="shared" si="4"/>
        <v>10.660377358490564</v>
      </c>
    </row>
    <row r="44" spans="1:14" ht="15.75" thickBot="1">
      <c r="A44" s="2">
        <v>3</v>
      </c>
      <c r="B44" s="6">
        <v>4.4000000000000004</v>
      </c>
      <c r="C44" s="8">
        <v>50</v>
      </c>
      <c r="D44" s="14" t="s">
        <v>3</v>
      </c>
      <c r="G44" s="27">
        <f t="shared" si="0"/>
        <v>0.87234042553191493</v>
      </c>
      <c r="H44" s="30">
        <f t="shared" si="5"/>
        <v>-2.97872340425549E-2</v>
      </c>
      <c r="I44" s="22">
        <f t="shared" si="1"/>
        <v>9.0212765957446805</v>
      </c>
      <c r="L44" s="4">
        <f t="shared" si="2"/>
        <v>0.320754716981132</v>
      </c>
      <c r="M44" s="30">
        <f t="shared" si="3"/>
        <v>-2.0886792452830178</v>
      </c>
      <c r="N44" s="22">
        <f t="shared" si="4"/>
        <v>11.660377358490564</v>
      </c>
    </row>
    <row r="45" spans="1:14" ht="15.75" thickBot="1">
      <c r="A45" s="2">
        <v>1</v>
      </c>
      <c r="B45" s="6">
        <v>5.2</v>
      </c>
      <c r="C45" s="8">
        <v>58</v>
      </c>
      <c r="D45" s="14" t="s">
        <v>3</v>
      </c>
      <c r="G45" s="27">
        <f t="shared" si="0"/>
        <v>0.87234042553191493</v>
      </c>
      <c r="H45" s="30">
        <f t="shared" si="5"/>
        <v>-3.0297872340425549</v>
      </c>
      <c r="I45" s="22">
        <f t="shared" si="1"/>
        <v>5.0212765957446805</v>
      </c>
      <c r="L45" s="4">
        <f t="shared" si="2"/>
        <v>-0.679245283018868</v>
      </c>
      <c r="M45" s="30">
        <f t="shared" si="3"/>
        <v>4.9113207547169822</v>
      </c>
      <c r="N45" s="22">
        <f t="shared" si="4"/>
        <v>-13.339622641509436</v>
      </c>
    </row>
    <row r="46" spans="1:14" ht="15.75" thickBot="1">
      <c r="A46" s="2">
        <v>1</v>
      </c>
      <c r="B46" s="6">
        <v>4.2</v>
      </c>
      <c r="C46" s="8">
        <v>57</v>
      </c>
      <c r="D46" s="14" t="s">
        <v>3</v>
      </c>
      <c r="G46" s="27">
        <f t="shared" si="0"/>
        <v>0.87234042553191493</v>
      </c>
      <c r="H46" s="30">
        <f t="shared" si="5"/>
        <v>-2.7297872340425542</v>
      </c>
      <c r="I46" s="22">
        <f t="shared" si="1"/>
        <v>-3.9787234042553195</v>
      </c>
      <c r="L46" s="4">
        <f t="shared" si="2"/>
        <v>2.3207547169811322</v>
      </c>
      <c r="M46" s="30">
        <f t="shared" si="3"/>
        <v>-8.8679245283017849E-2</v>
      </c>
      <c r="N46" s="22">
        <f t="shared" si="4"/>
        <v>-10.339622641509436</v>
      </c>
    </row>
    <row r="47" spans="1:14" ht="15.75" thickBot="1">
      <c r="A47" s="2">
        <v>1</v>
      </c>
      <c r="B47" s="6">
        <v>6.5</v>
      </c>
      <c r="C47" s="8">
        <v>58</v>
      </c>
      <c r="D47" s="14" t="s">
        <v>3</v>
      </c>
      <c r="G47" s="27">
        <f t="shared" si="0"/>
        <v>-1.1276595744680851</v>
      </c>
      <c r="H47" s="30">
        <f t="shared" si="5"/>
        <v>-1.9297872340425544</v>
      </c>
      <c r="I47" s="22">
        <f t="shared" si="1"/>
        <v>4.0212765957446805</v>
      </c>
      <c r="L47" s="4">
        <f t="shared" si="2"/>
        <v>2.3207547169811322</v>
      </c>
      <c r="M47" s="30">
        <f t="shared" si="3"/>
        <v>-3.4886792452830182</v>
      </c>
      <c r="N47" s="22">
        <f t="shared" si="4"/>
        <v>-2.3396226415094361</v>
      </c>
    </row>
    <row r="48" spans="1:14" ht="15.75" thickBot="1">
      <c r="A48" s="2">
        <v>2</v>
      </c>
      <c r="B48" s="6">
        <v>6.8</v>
      </c>
      <c r="C48" s="8">
        <v>55</v>
      </c>
      <c r="D48" s="14" t="s">
        <v>3</v>
      </c>
      <c r="G48" s="27">
        <f t="shared" si="0"/>
        <v>-1.1276595744680851</v>
      </c>
      <c r="H48" s="30">
        <f t="shared" si="5"/>
        <v>-2.9297872340425544</v>
      </c>
      <c r="I48" s="22">
        <f t="shared" si="1"/>
        <v>3.0212765957446805</v>
      </c>
      <c r="L48" s="4">
        <f t="shared" si="2"/>
        <v>-0.679245283018868</v>
      </c>
      <c r="M48" s="30">
        <f t="shared" si="3"/>
        <v>2.6113207547169814</v>
      </c>
      <c r="N48" s="22">
        <f t="shared" si="4"/>
        <v>-8.3396226415094361</v>
      </c>
    </row>
    <row r="49" spans="1:14" ht="15.75" thickBot="1">
      <c r="A49" s="3">
        <v>1</v>
      </c>
      <c r="B49" s="6">
        <v>16.7</v>
      </c>
      <c r="C49" s="8">
        <v>69</v>
      </c>
      <c r="D49" s="14" t="s">
        <v>4</v>
      </c>
      <c r="G49" s="27">
        <f t="shared" si="0"/>
        <v>-1.1276595744680851</v>
      </c>
      <c r="H49" s="30">
        <f t="shared" si="5"/>
        <v>-0.62978723404255454</v>
      </c>
      <c r="I49" s="22">
        <f t="shared" si="1"/>
        <v>4.0212765957446805</v>
      </c>
      <c r="L49" s="4">
        <f t="shared" si="2"/>
        <v>-0.679245283018868</v>
      </c>
      <c r="M49" s="30">
        <f t="shared" si="3"/>
        <v>16.611320754716981</v>
      </c>
      <c r="N49" s="22">
        <f t="shared" si="4"/>
        <v>8.6603773584905639</v>
      </c>
    </row>
    <row r="50" spans="1:14" ht="15.75" thickBot="1">
      <c r="A50" s="3">
        <v>5</v>
      </c>
      <c r="B50" s="6">
        <v>11.8</v>
      </c>
      <c r="C50" s="8">
        <v>42</v>
      </c>
      <c r="D50" s="14" t="s">
        <v>4</v>
      </c>
      <c r="G50" s="28">
        <f t="shared" si="0"/>
        <v>-0.12765957446808507</v>
      </c>
      <c r="H50" s="31">
        <f t="shared" si="5"/>
        <v>-0.32978723404255472</v>
      </c>
      <c r="I50" s="25">
        <f t="shared" si="1"/>
        <v>1.0212765957446805</v>
      </c>
      <c r="L50" s="4">
        <f t="shared" si="2"/>
        <v>-0.679245283018868</v>
      </c>
      <c r="M50" s="30">
        <f t="shared" si="3"/>
        <v>-4.8886792452830186</v>
      </c>
      <c r="N50" s="22">
        <f t="shared" si="4"/>
        <v>-7.3396226415094361</v>
      </c>
    </row>
    <row r="51" spans="1:14" ht="15.75" thickBot="1">
      <c r="A51" s="3">
        <v>2</v>
      </c>
      <c r="B51" s="6">
        <v>10.6</v>
      </c>
      <c r="C51" s="8">
        <v>39</v>
      </c>
      <c r="D51" s="14" t="s">
        <v>4</v>
      </c>
      <c r="L51" s="4">
        <f t="shared" si="2"/>
        <v>-0.679245283018868</v>
      </c>
      <c r="M51" s="30">
        <f t="shared" si="3"/>
        <v>-1.5886792452830178</v>
      </c>
      <c r="N51" s="22">
        <f t="shared" si="4"/>
        <v>-6.3396226415094361</v>
      </c>
    </row>
    <row r="52" spans="1:14" ht="15.75" thickBot="1">
      <c r="A52" s="3">
        <v>3</v>
      </c>
      <c r="B52" s="6">
        <v>6</v>
      </c>
      <c r="C52" s="8">
        <v>68</v>
      </c>
      <c r="D52" s="14" t="s">
        <v>4</v>
      </c>
      <c r="F52" t="s">
        <v>8</v>
      </c>
      <c r="G52" s="19" cm="1">
        <f t="array" ref="G52:I54">MMULT(TRANSPOSE(G4:I50), G4:I50) / (ROWS(G4:G50)-1)</f>
        <v>1.7224791859389448</v>
      </c>
      <c r="H52" s="20">
        <v>1.0569842738205362</v>
      </c>
      <c r="I52" s="21">
        <v>-0.10592044403330246</v>
      </c>
      <c r="L52" s="4">
        <f t="shared" si="2"/>
        <v>-0.679245283018868</v>
      </c>
      <c r="M52" s="30">
        <f t="shared" si="3"/>
        <v>2.8113207547169807</v>
      </c>
      <c r="N52" s="22">
        <f t="shared" si="4"/>
        <v>6.6603773584905639</v>
      </c>
    </row>
    <row r="53" spans="1:14" ht="15.75" thickBot="1">
      <c r="A53" s="3">
        <v>2</v>
      </c>
      <c r="B53" s="6">
        <v>13.6</v>
      </c>
      <c r="C53" s="8">
        <v>55</v>
      </c>
      <c r="D53" s="14" t="s">
        <v>4</v>
      </c>
      <c r="G53" s="4">
        <v>1.0569842738205362</v>
      </c>
      <c r="H53" s="9">
        <v>10.073441258094356</v>
      </c>
      <c r="I53" s="22">
        <v>-1.6623959296947273</v>
      </c>
      <c r="L53" s="4">
        <f t="shared" si="2"/>
        <v>-0.679245283018868</v>
      </c>
      <c r="M53" s="30">
        <f t="shared" si="3"/>
        <v>-0.68867924528301927</v>
      </c>
      <c r="N53" s="22">
        <f t="shared" si="4"/>
        <v>11.660377358490564</v>
      </c>
    </row>
    <row r="54" spans="1:14" ht="15.75" thickBot="1">
      <c r="A54" s="3">
        <v>0</v>
      </c>
      <c r="B54" s="6">
        <v>8.5</v>
      </c>
      <c r="C54" s="8">
        <v>58</v>
      </c>
      <c r="D54" s="14" t="s">
        <v>4</v>
      </c>
      <c r="G54" s="23">
        <v>-0.10592044403330246</v>
      </c>
      <c r="H54" s="24">
        <v>-1.6623959296947273</v>
      </c>
      <c r="I54" s="25">
        <v>50.543015726179462</v>
      </c>
      <c r="L54" s="4">
        <f t="shared" si="2"/>
        <v>1.320754716981132</v>
      </c>
      <c r="M54" s="30">
        <f t="shared" si="3"/>
        <v>-1.3886792452830186</v>
      </c>
      <c r="N54" s="22">
        <f t="shared" si="4"/>
        <v>10.660377358490564</v>
      </c>
    </row>
    <row r="55" spans="1:14" ht="15.75" thickBot="1">
      <c r="A55" s="3">
        <v>2</v>
      </c>
      <c r="B55" s="6">
        <v>10.1</v>
      </c>
      <c r="C55" s="8">
        <v>59</v>
      </c>
      <c r="D55" s="14" t="s">
        <v>4</v>
      </c>
      <c r="L55" s="4">
        <f t="shared" si="2"/>
        <v>-1.679245283018868</v>
      </c>
      <c r="M55" s="30">
        <f t="shared" si="3"/>
        <v>0.61132075471698144</v>
      </c>
      <c r="N55" s="22">
        <f t="shared" si="4"/>
        <v>-8.3396226415094361</v>
      </c>
    </row>
    <row r="56" spans="1:14" ht="15.75" thickBot="1">
      <c r="A56" s="3">
        <v>0</v>
      </c>
      <c r="B56" s="6">
        <v>14.1</v>
      </c>
      <c r="C56" s="8">
        <v>59</v>
      </c>
      <c r="D56" s="14" t="s">
        <v>4</v>
      </c>
      <c r="L56" s="23">
        <f t="shared" si="2"/>
        <v>-0.679245283018868</v>
      </c>
      <c r="M56" s="31">
        <f t="shared" si="3"/>
        <v>11.611320754716981</v>
      </c>
      <c r="N56" s="25">
        <f t="shared" si="4"/>
        <v>-4.3396226415094361</v>
      </c>
    </row>
    <row r="57" spans="1:14" ht="15.75" thickBot="1">
      <c r="A57" s="3">
        <v>0</v>
      </c>
      <c r="B57" s="6">
        <v>8.4</v>
      </c>
      <c r="C57" s="8">
        <v>56</v>
      </c>
      <c r="D57" s="14" t="s">
        <v>4</v>
      </c>
    </row>
    <row r="58" spans="1:14" ht="15.75" thickBot="1">
      <c r="A58" s="3">
        <v>2</v>
      </c>
      <c r="B58" s="6">
        <v>9.1999999999999993</v>
      </c>
      <c r="C58" s="8">
        <v>69</v>
      </c>
      <c r="D58" s="14" t="s">
        <v>4</v>
      </c>
      <c r="K58" t="s">
        <v>11</v>
      </c>
      <c r="L58" s="33" cm="1">
        <f t="array" ref="L58:N60">MMULT(TRANSPOSE(L4:N56), L4:N56) / (ROWS(L4:L56)-1)</f>
        <v>1.5682148040638615</v>
      </c>
      <c r="M58" s="34">
        <v>-0.16331640058055166</v>
      </c>
      <c r="N58" s="35">
        <v>0.41872278664731544</v>
      </c>
    </row>
    <row r="59" spans="1:14" ht="15.75" thickBot="1">
      <c r="A59" s="3">
        <v>2</v>
      </c>
      <c r="B59" s="6">
        <v>7.7</v>
      </c>
      <c r="C59" s="8">
        <v>67</v>
      </c>
      <c r="D59" s="14" t="s">
        <v>4</v>
      </c>
      <c r="L59" s="36">
        <v>-0.16331640058055166</v>
      </c>
      <c r="M59" s="8">
        <v>16.092946298984032</v>
      </c>
      <c r="N59" s="37">
        <v>2.1635341074020307</v>
      </c>
    </row>
    <row r="60" spans="1:14" ht="15.75" thickBot="1">
      <c r="A60" s="3">
        <v>2</v>
      </c>
      <c r="B60" s="6">
        <v>10.7</v>
      </c>
      <c r="C60" s="8">
        <v>48</v>
      </c>
      <c r="D60" s="14" t="s">
        <v>4</v>
      </c>
      <c r="L60" s="38">
        <v>0.41872278664731544</v>
      </c>
      <c r="M60" s="39">
        <v>2.1635341074020307</v>
      </c>
      <c r="N60" s="40">
        <v>87.882438316400567</v>
      </c>
    </row>
    <row r="61" spans="1:14" ht="15.75" thickBot="1">
      <c r="A61" s="3">
        <v>2</v>
      </c>
      <c r="B61" s="6">
        <v>12.5</v>
      </c>
      <c r="C61" s="8">
        <v>55</v>
      </c>
      <c r="D61" s="14" t="s">
        <v>4</v>
      </c>
    </row>
    <row r="62" spans="1:14" ht="15.75" thickBot="1">
      <c r="A62" s="3">
        <v>2</v>
      </c>
      <c r="B62" s="6">
        <v>9.1</v>
      </c>
      <c r="C62" s="8">
        <v>65</v>
      </c>
      <c r="D62" s="14" t="s">
        <v>4</v>
      </c>
    </row>
    <row r="63" spans="1:14" ht="15.75" thickBot="1">
      <c r="A63" s="3">
        <v>2</v>
      </c>
      <c r="B63" s="6">
        <v>11.8</v>
      </c>
      <c r="C63" s="8">
        <v>55</v>
      </c>
      <c r="D63" s="14" t="s">
        <v>4</v>
      </c>
    </row>
    <row r="64" spans="1:14" ht="24.75" thickBot="1">
      <c r="A64" s="3">
        <v>1</v>
      </c>
      <c r="B64" s="6">
        <v>11.9</v>
      </c>
      <c r="C64" s="8">
        <v>51</v>
      </c>
      <c r="D64" s="14" t="s">
        <v>4</v>
      </c>
      <c r="F64" s="41" t="s">
        <v>13</v>
      </c>
      <c r="G64" s="42"/>
      <c r="H64" s="42"/>
      <c r="I64" s="42"/>
      <c r="J64" s="42"/>
      <c r="K64" s="42"/>
      <c r="L64" s="42"/>
      <c r="M64" s="42"/>
      <c r="N64" s="43"/>
    </row>
    <row r="65" spans="1:14" ht="15.75" thickBot="1">
      <c r="A65" s="3">
        <v>1</v>
      </c>
      <c r="B65" s="6">
        <v>9.4</v>
      </c>
      <c r="C65" s="8">
        <v>68</v>
      </c>
      <c r="D65" s="14" t="s">
        <v>4</v>
      </c>
    </row>
    <row r="66" spans="1:14" ht="15.75" thickBot="1">
      <c r="A66" s="3">
        <v>1</v>
      </c>
      <c r="B66" s="6">
        <v>10.7</v>
      </c>
      <c r="C66" s="8">
        <v>49</v>
      </c>
      <c r="D66" s="14" t="s">
        <v>4</v>
      </c>
      <c r="F66" s="13" t="s">
        <v>14</v>
      </c>
      <c r="G66" s="19" cm="1">
        <f t="array" ref="G66:I68">((47-1)*G52:I54 + (53-1)*L58:N60) / (47+53-2)</f>
        <v>1.6406246159644109</v>
      </c>
      <c r="H66" s="20">
        <v>0.40947779352608143</v>
      </c>
      <c r="I66" s="21">
        <v>0.17246167836865806</v>
      </c>
    </row>
    <row r="67" spans="1:14" ht="15.75" thickBot="1">
      <c r="A67" s="3">
        <v>4</v>
      </c>
      <c r="B67" s="6">
        <v>15.1</v>
      </c>
      <c r="C67" s="8">
        <v>66</v>
      </c>
      <c r="D67" s="14" t="s">
        <v>4</v>
      </c>
      <c r="G67" s="4">
        <v>0.40947779352608143</v>
      </c>
      <c r="H67" s="9">
        <v>13.26746434101541</v>
      </c>
      <c r="I67" s="22">
        <v>0.36768939611171564</v>
      </c>
    </row>
    <row r="68" spans="1:14" ht="15.75" thickBot="1">
      <c r="A68" s="3">
        <v>3</v>
      </c>
      <c r="B68" s="6">
        <v>15.9</v>
      </c>
      <c r="C68" s="8">
        <v>69</v>
      </c>
      <c r="D68" s="14" t="s">
        <v>4</v>
      </c>
      <c r="G68" s="23">
        <v>0.17246167836865806</v>
      </c>
      <c r="H68" s="24">
        <v>0.36768939611171564</v>
      </c>
      <c r="I68" s="25">
        <v>70.355770569970247</v>
      </c>
    </row>
    <row r="69" spans="1:14" ht="15.75" thickBot="1">
      <c r="A69" s="3">
        <v>2</v>
      </c>
      <c r="B69" s="6">
        <v>13.7</v>
      </c>
      <c r="C69" s="8">
        <v>66</v>
      </c>
      <c r="D69" s="14" t="s">
        <v>4</v>
      </c>
    </row>
    <row r="70" spans="1:14" ht="15.75" thickBot="1">
      <c r="A70" s="3">
        <v>3</v>
      </c>
      <c r="B70" s="6">
        <v>12.6</v>
      </c>
      <c r="C70" s="8">
        <v>60</v>
      </c>
      <c r="D70" s="14" t="s">
        <v>4</v>
      </c>
    </row>
    <row r="71" spans="1:14" ht="24.75" thickBot="1">
      <c r="A71" s="3">
        <v>1</v>
      </c>
      <c r="B71" s="6">
        <v>12.1</v>
      </c>
      <c r="C71" s="8">
        <v>52</v>
      </c>
      <c r="D71" s="14" t="s">
        <v>4</v>
      </c>
      <c r="F71" s="41" t="s">
        <v>15</v>
      </c>
      <c r="G71" s="45"/>
      <c r="H71" s="45"/>
      <c r="I71" s="45"/>
      <c r="J71" s="45"/>
      <c r="K71" s="45"/>
      <c r="L71" s="45"/>
      <c r="M71" s="45"/>
      <c r="N71" s="46"/>
    </row>
    <row r="72" spans="1:14" ht="15.75" thickBot="1">
      <c r="A72" s="3">
        <v>2</v>
      </c>
      <c r="B72" s="6">
        <v>11.3</v>
      </c>
      <c r="C72" s="8">
        <v>49</v>
      </c>
      <c r="D72" s="14" t="s">
        <v>4</v>
      </c>
    </row>
    <row r="73" spans="1:14" ht="15.75" thickBot="1">
      <c r="A73" s="3">
        <v>0</v>
      </c>
      <c r="B73" s="6">
        <v>12.5</v>
      </c>
      <c r="C73" s="8">
        <v>62</v>
      </c>
      <c r="D73" s="14" t="s">
        <v>4</v>
      </c>
    </row>
    <row r="74" spans="1:14" ht="15.75" thickBot="1">
      <c r="A74" s="3">
        <v>2</v>
      </c>
      <c r="B74" s="6">
        <v>11.3</v>
      </c>
      <c r="C74" s="8">
        <v>49</v>
      </c>
      <c r="D74" s="14" t="s">
        <v>4</v>
      </c>
      <c r="F74" t="s">
        <v>16</v>
      </c>
      <c r="G74" s="19" cm="1">
        <f t="array" ref="G74:I76">MINVERSE(G66:I68)</f>
        <v>0.61439486224062312</v>
      </c>
      <c r="H74" s="20">
        <v>-1.892325835621253E-2</v>
      </c>
      <c r="I74" s="21">
        <v>-1.4071580324342742E-3</v>
      </c>
    </row>
    <row r="75" spans="1:14" ht="15.75" thickBot="1">
      <c r="A75" s="3">
        <v>1</v>
      </c>
      <c r="B75" s="6">
        <v>10.5</v>
      </c>
      <c r="C75" s="8">
        <v>39</v>
      </c>
      <c r="D75" s="14" t="s">
        <v>4</v>
      </c>
      <c r="G75" s="4">
        <v>-1.8923258356212527E-2</v>
      </c>
      <c r="H75" s="9">
        <v>7.5966103903076565E-2</v>
      </c>
      <c r="I75" s="22">
        <v>-3.5062360589502322E-4</v>
      </c>
    </row>
    <row r="76" spans="1:14" ht="15.75" thickBot="1">
      <c r="A76" s="3">
        <v>2</v>
      </c>
      <c r="B76" s="6">
        <v>9.8000000000000007</v>
      </c>
      <c r="C76" s="8">
        <v>39</v>
      </c>
      <c r="D76" s="14" t="s">
        <v>4</v>
      </c>
      <c r="G76" s="23">
        <v>-1.4071580324342744E-3</v>
      </c>
      <c r="H76" s="24">
        <v>-3.5062360589502322E-4</v>
      </c>
      <c r="I76" s="25">
        <v>1.4218756945075708E-2</v>
      </c>
    </row>
    <row r="77" spans="1:14" ht="15.75" thickBot="1">
      <c r="A77" s="3">
        <v>0</v>
      </c>
      <c r="B77" s="6">
        <v>10.1</v>
      </c>
      <c r="C77" s="8">
        <v>48</v>
      </c>
      <c r="D77" s="14" t="s">
        <v>4</v>
      </c>
    </row>
    <row r="78" spans="1:14" ht="15.75" thickBot="1">
      <c r="A78" s="3">
        <v>4</v>
      </c>
      <c r="B78" s="6">
        <v>4.8</v>
      </c>
      <c r="C78" s="8">
        <v>69</v>
      </c>
      <c r="D78" s="14" t="s">
        <v>4</v>
      </c>
    </row>
    <row r="79" spans="1:14" ht="15.75" thickBot="1">
      <c r="A79" s="3">
        <v>1</v>
      </c>
      <c r="B79" s="6">
        <v>12.9</v>
      </c>
      <c r="C79" s="8">
        <v>56</v>
      </c>
      <c r="D79" s="14" t="s">
        <v>4</v>
      </c>
    </row>
    <row r="80" spans="1:14" ht="15.75" thickBot="1">
      <c r="A80" s="3">
        <v>2</v>
      </c>
      <c r="B80" s="6">
        <v>13.1</v>
      </c>
      <c r="C80" s="8">
        <v>66</v>
      </c>
      <c r="D80" s="14" t="s">
        <v>4</v>
      </c>
      <c r="G80" s="10">
        <f>G2 - L2</f>
        <v>0.44841429144921707</v>
      </c>
    </row>
    <row r="81" spans="1:11" ht="15.75" thickBot="1">
      <c r="A81" s="3">
        <v>1</v>
      </c>
      <c r="B81" s="6">
        <v>7.9</v>
      </c>
      <c r="C81" s="8">
        <v>63</v>
      </c>
      <c r="D81" s="14" t="s">
        <v>4</v>
      </c>
      <c r="F81" t="s">
        <v>31</v>
      </c>
      <c r="G81" s="11">
        <f>H2 - M2</f>
        <v>-4.258892011240464</v>
      </c>
    </row>
    <row r="82" spans="1:11" ht="15.75" thickBot="1">
      <c r="A82" s="3">
        <v>1</v>
      </c>
      <c r="B82" s="6">
        <v>6.5</v>
      </c>
      <c r="C82" s="8">
        <v>60</v>
      </c>
      <c r="D82" s="14" t="s">
        <v>4</v>
      </c>
      <c r="G82" s="12">
        <f>I2 - N2</f>
        <v>-2.3608992372541167</v>
      </c>
    </row>
    <row r="83" spans="1:11" ht="15.75" thickBot="1">
      <c r="A83" s="3">
        <v>4</v>
      </c>
      <c r="B83" s="6">
        <v>13.2</v>
      </c>
      <c r="C83" s="8">
        <v>42</v>
      </c>
      <c r="D83" s="14" t="s">
        <v>4</v>
      </c>
    </row>
    <row r="84" spans="1:11" ht="15.75" thickBot="1">
      <c r="A84" s="3">
        <v>2</v>
      </c>
      <c r="B84" s="6">
        <v>6.5</v>
      </c>
      <c r="C84" s="8">
        <v>47</v>
      </c>
      <c r="D84" s="14" t="s">
        <v>4</v>
      </c>
    </row>
    <row r="85" spans="1:11" ht="15.75" thickBot="1">
      <c r="A85" s="3">
        <v>0</v>
      </c>
      <c r="B85" s="6">
        <v>4.7</v>
      </c>
      <c r="C85" s="8">
        <v>46</v>
      </c>
      <c r="D85" s="14" t="s">
        <v>4</v>
      </c>
    </row>
    <row r="86" spans="1:11" ht="15.75" thickBot="1">
      <c r="A86" s="3">
        <v>0</v>
      </c>
      <c r="B86" s="6">
        <v>8</v>
      </c>
      <c r="C86" s="8">
        <v>55</v>
      </c>
      <c r="D86" s="14" t="s">
        <v>4</v>
      </c>
      <c r="G86" s="10" cm="1">
        <f t="array" ref="G86:G88">MMULT(G74:I76, G80:G82)</f>
        <v>0.35941770898705128</v>
      </c>
    </row>
    <row r="87" spans="1:11" ht="15.75" thickBot="1">
      <c r="A87" s="3">
        <v>3</v>
      </c>
      <c r="B87" s="6">
        <v>13.9</v>
      </c>
      <c r="C87" s="8">
        <v>63</v>
      </c>
      <c r="D87" s="14" t="s">
        <v>4</v>
      </c>
      <c r="F87" t="s">
        <v>17</v>
      </c>
      <c r="G87" s="11">
        <v>-0.33118910552186648</v>
      </c>
    </row>
    <row r="88" spans="1:11" ht="15.75" thickBot="1">
      <c r="A88" s="3">
        <v>0</v>
      </c>
      <c r="B88" s="6">
        <v>11.4</v>
      </c>
      <c r="C88" s="8">
        <v>67</v>
      </c>
      <c r="D88" s="14" t="s">
        <v>4</v>
      </c>
      <c r="G88" s="12">
        <v>-3.270677412430336E-2</v>
      </c>
    </row>
    <row r="89" spans="1:11" ht="15.75" thickBot="1">
      <c r="A89" s="3">
        <v>2</v>
      </c>
      <c r="B89" s="6">
        <v>9.3000000000000007</v>
      </c>
      <c r="C89" s="8">
        <v>68</v>
      </c>
      <c r="D89" s="14" t="s">
        <v>4</v>
      </c>
    </row>
    <row r="90" spans="1:11" ht="15.75" thickBot="1">
      <c r="A90" s="3">
        <v>1</v>
      </c>
      <c r="B90" s="6">
        <v>16.3</v>
      </c>
      <c r="C90" s="8">
        <v>43</v>
      </c>
      <c r="D90" s="14" t="s">
        <v>4</v>
      </c>
    </row>
    <row r="91" spans="1:11" ht="15.75" thickBot="1">
      <c r="A91" s="3">
        <v>4</v>
      </c>
      <c r="B91" s="6">
        <v>11.3</v>
      </c>
      <c r="C91" s="8">
        <v>46</v>
      </c>
      <c r="D91" s="14" t="s">
        <v>4</v>
      </c>
    </row>
    <row r="92" spans="1:11" ht="15.75" thickBot="1">
      <c r="A92" s="3">
        <v>4</v>
      </c>
      <c r="B92" s="6">
        <v>7.9</v>
      </c>
      <c r="C92" s="8">
        <v>54</v>
      </c>
      <c r="D92" s="14" t="s">
        <v>4</v>
      </c>
      <c r="F92" t="s">
        <v>18</v>
      </c>
      <c r="G92" s="18" cm="1">
        <f t="array" ref="G92:I92">TRANSPOSE(G86:G88)</f>
        <v>0.35941770898705128</v>
      </c>
      <c r="H92" s="16">
        <v>-0.33118910552186648</v>
      </c>
      <c r="I92" s="17">
        <v>-3.270677412430336E-2</v>
      </c>
    </row>
    <row r="93" spans="1:11" ht="15.75" thickBot="1">
      <c r="A93" s="3">
        <v>1</v>
      </c>
      <c r="B93" s="6">
        <v>14</v>
      </c>
      <c r="C93" s="8">
        <v>48</v>
      </c>
      <c r="D93" s="14" t="s">
        <v>4</v>
      </c>
    </row>
    <row r="94" spans="1:11" ht="15.75" thickBot="1">
      <c r="A94" s="3">
        <v>1</v>
      </c>
      <c r="B94" s="6">
        <v>28</v>
      </c>
      <c r="C94" s="8">
        <v>65</v>
      </c>
      <c r="D94" s="14" t="s">
        <v>4</v>
      </c>
      <c r="G94" s="19"/>
      <c r="H94" s="20"/>
      <c r="I94" s="47" t="s">
        <v>21</v>
      </c>
      <c r="J94" s="47" t="s">
        <v>22</v>
      </c>
      <c r="K94" s="48" t="s">
        <v>23</v>
      </c>
    </row>
    <row r="95" spans="1:11" ht="15.75" thickBot="1">
      <c r="A95" s="3">
        <v>1</v>
      </c>
      <c r="B95" s="6">
        <v>6.5</v>
      </c>
      <c r="C95" s="8">
        <v>49</v>
      </c>
      <c r="D95" s="14" t="s">
        <v>4</v>
      </c>
      <c r="F95" t="s">
        <v>19</v>
      </c>
      <c r="G95" s="49" t="s">
        <v>20</v>
      </c>
      <c r="H95" s="50" t="s">
        <v>6</v>
      </c>
      <c r="I95" s="50">
        <v>0.35941770898705128</v>
      </c>
      <c r="J95" s="50">
        <v>-0.33118910552186648</v>
      </c>
      <c r="K95" s="51">
        <v>-3.270677412430336E-2</v>
      </c>
    </row>
    <row r="96" spans="1:11" ht="15.75" thickBot="1">
      <c r="A96" s="3">
        <v>1</v>
      </c>
      <c r="B96" s="6">
        <v>9.8000000000000007</v>
      </c>
      <c r="C96" s="8">
        <v>50</v>
      </c>
      <c r="D96" s="14" t="s">
        <v>4</v>
      </c>
    </row>
    <row r="97" spans="1:14" ht="15.75" thickBot="1">
      <c r="A97" s="3">
        <v>1</v>
      </c>
      <c r="B97" s="6">
        <v>14.2</v>
      </c>
      <c r="C97" s="8">
        <v>63</v>
      </c>
      <c r="D97" s="14" t="s">
        <v>4</v>
      </c>
    </row>
    <row r="98" spans="1:14" ht="24.75" thickBot="1">
      <c r="A98" s="3">
        <v>1</v>
      </c>
      <c r="B98" s="6">
        <v>10.7</v>
      </c>
      <c r="C98" s="8">
        <v>68</v>
      </c>
      <c r="D98" s="14" t="s">
        <v>4</v>
      </c>
      <c r="F98" s="41" t="s">
        <v>24</v>
      </c>
      <c r="G98" s="42"/>
      <c r="H98" s="42"/>
      <c r="I98" s="42"/>
      <c r="J98" s="42"/>
      <c r="K98" s="42"/>
      <c r="L98" s="42"/>
      <c r="M98" s="42"/>
      <c r="N98" s="43"/>
    </row>
    <row r="99" spans="1:14" ht="15.75" thickBot="1">
      <c r="A99" s="3">
        <v>3</v>
      </c>
      <c r="B99" s="6">
        <v>10</v>
      </c>
      <c r="C99" s="8">
        <v>67</v>
      </c>
      <c r="D99" s="14" t="s">
        <v>4</v>
      </c>
    </row>
    <row r="100" spans="1:14" ht="15.75" thickBot="1">
      <c r="A100" s="3">
        <v>0</v>
      </c>
      <c r="B100" s="6">
        <v>12</v>
      </c>
      <c r="C100" s="8">
        <v>48</v>
      </c>
      <c r="D100" s="14" t="s">
        <v>4</v>
      </c>
      <c r="G100" s="10">
        <f>G2 + L2</f>
        <v>3.8069048574869528</v>
      </c>
    </row>
    <row r="101" spans="1:14" ht="15.75" thickBot="1">
      <c r="A101" s="3">
        <v>1</v>
      </c>
      <c r="B101" s="6">
        <v>23</v>
      </c>
      <c r="C101" s="8">
        <v>52</v>
      </c>
      <c r="D101" s="14" t="s">
        <v>4</v>
      </c>
      <c r="F101" t="s">
        <v>25</v>
      </c>
      <c r="G101" s="11">
        <f>H2 + M2</f>
        <v>18.518466479325575</v>
      </c>
    </row>
    <row r="102" spans="1:14" ht="15.75" thickBot="1">
      <c r="C102"/>
      <c r="D102"/>
      <c r="G102" s="12">
        <f>I2 + N2</f>
        <v>110.31834604576476</v>
      </c>
    </row>
    <row r="103" spans="1:14" ht="15.75" thickBot="1">
      <c r="C103"/>
      <c r="D103"/>
    </row>
    <row r="104" spans="1:14" ht="15.75" thickBot="1">
      <c r="C104"/>
      <c r="D104"/>
      <c r="F104" t="s">
        <v>26</v>
      </c>
      <c r="G104" s="15" cm="1">
        <f t="array" ref="G104">MMULT(TRANSPOSE(G86:G88), G100:G102)</f>
        <v>-8.3730025526004308</v>
      </c>
    </row>
    <row r="105" spans="1:14" ht="15.75" thickBot="1">
      <c r="C105"/>
      <c r="D105"/>
    </row>
    <row r="106" spans="1:14" ht="15.75" thickBot="1">
      <c r="C106"/>
      <c r="D106"/>
      <c r="F106" t="s">
        <v>27</v>
      </c>
      <c r="G106" s="15">
        <f>0.5*G104</f>
        <v>-4.1865012763002154</v>
      </c>
    </row>
    <row r="107" spans="1:14" ht="15.75" thickBot="1">
      <c r="C107"/>
      <c r="D107"/>
    </row>
    <row r="108" spans="1:14" ht="24.75" thickBot="1">
      <c r="C108"/>
      <c r="D108"/>
      <c r="F108" s="41" t="s">
        <v>28</v>
      </c>
      <c r="G108" s="42"/>
      <c r="H108" s="42"/>
      <c r="I108" s="42"/>
      <c r="J108" s="42"/>
      <c r="K108" s="42"/>
      <c r="L108" s="42"/>
      <c r="M108" s="42"/>
      <c r="N108" s="43"/>
    </row>
    <row r="109" spans="1:14" ht="15.75" thickBot="1">
      <c r="C109"/>
      <c r="D109"/>
    </row>
    <row r="110" spans="1:14" ht="15.75" thickBot="1">
      <c r="A110" s="1" t="s">
        <v>0</v>
      </c>
      <c r="B110" s="5" t="s">
        <v>1</v>
      </c>
      <c r="C110" s="8" t="s">
        <v>5</v>
      </c>
      <c r="D110" s="52" t="s">
        <v>2</v>
      </c>
      <c r="E110" s="7" t="s">
        <v>29</v>
      </c>
      <c r="F110" s="7" t="s">
        <v>30</v>
      </c>
    </row>
    <row r="111" spans="1:14" ht="15.75" thickBot="1">
      <c r="A111" s="2">
        <v>6</v>
      </c>
      <c r="B111" s="6">
        <v>10</v>
      </c>
      <c r="C111" s="8">
        <v>48</v>
      </c>
      <c r="D111" s="52" t="s">
        <v>3</v>
      </c>
      <c r="E111" s="8">
        <f>$G$86*A111 + $G$87*B111 + $G$88*C111</f>
        <v>-2.7253099592629186</v>
      </c>
      <c r="F111" s="8" t="str">
        <f>IF(E111&gt;=$G$106,"bad","good")</f>
        <v>bad</v>
      </c>
      <c r="I111" s="44" t="s">
        <v>32</v>
      </c>
      <c r="J111" s="43"/>
    </row>
    <row r="112" spans="1:14" ht="15.75" thickBot="1">
      <c r="A112" s="2">
        <v>1</v>
      </c>
      <c r="B112" s="6">
        <v>9</v>
      </c>
      <c r="C112" s="8">
        <v>58</v>
      </c>
      <c r="D112" s="52" t="s">
        <v>3</v>
      </c>
      <c r="E112" s="8">
        <f t="shared" ref="E112:E175" si="6">$G$86*A112 + $G$87*B112 + $G$88*C112</f>
        <v>-4.5182771399193413</v>
      </c>
      <c r="F112" s="8" t="str">
        <f t="shared" ref="F112:F175" si="7">IF(E112&gt;=$G$106,"bad","good")</f>
        <v>good</v>
      </c>
    </row>
    <row r="113" spans="1:14" ht="15.75" thickBot="1">
      <c r="A113" s="2">
        <v>2</v>
      </c>
      <c r="B113" s="6">
        <v>4.8</v>
      </c>
      <c r="C113" s="8">
        <v>44</v>
      </c>
      <c r="D113" s="52" t="s">
        <v>3</v>
      </c>
      <c r="E113" s="8">
        <f t="shared" si="6"/>
        <v>-2.3099703500002042</v>
      </c>
      <c r="F113" s="8" t="str">
        <f t="shared" si="7"/>
        <v>bad</v>
      </c>
      <c r="I113" s="44" t="s">
        <v>33</v>
      </c>
      <c r="J113" s="43"/>
    </row>
    <row r="114" spans="1:14" ht="15.75" thickBot="1">
      <c r="A114" s="2">
        <v>0</v>
      </c>
      <c r="B114" s="6">
        <v>4.9000000000000004</v>
      </c>
      <c r="C114" s="8">
        <v>61</v>
      </c>
      <c r="D114" s="52" t="s">
        <v>3</v>
      </c>
      <c r="E114" s="8">
        <f t="shared" si="6"/>
        <v>-3.6179398386396509</v>
      </c>
      <c r="F114" s="8" t="str">
        <f t="shared" si="7"/>
        <v>bad</v>
      </c>
    </row>
    <row r="115" spans="1:14" ht="15.75" thickBot="1">
      <c r="A115" s="2">
        <v>1</v>
      </c>
      <c r="B115" s="6">
        <v>4.7</v>
      </c>
      <c r="C115" s="8">
        <v>43</v>
      </c>
      <c r="D115" s="52" t="s">
        <v>3</v>
      </c>
      <c r="E115" s="8">
        <f t="shared" si="6"/>
        <v>-2.6035623743107656</v>
      </c>
      <c r="F115" s="8" t="str">
        <f t="shared" si="7"/>
        <v>bad</v>
      </c>
    </row>
    <row r="116" spans="1:14" ht="15.75" thickBot="1">
      <c r="A116" s="2">
        <v>3</v>
      </c>
      <c r="B116" s="6">
        <v>2.4</v>
      </c>
      <c r="C116" s="8">
        <v>53</v>
      </c>
      <c r="D116" s="52" t="s">
        <v>3</v>
      </c>
      <c r="E116" s="8">
        <f t="shared" si="6"/>
        <v>-1.4500597548794039</v>
      </c>
      <c r="F116" s="8" t="str">
        <f t="shared" si="7"/>
        <v>bad</v>
      </c>
    </row>
    <row r="117" spans="1:14" ht="15.75" thickBot="1">
      <c r="A117" s="2">
        <v>3</v>
      </c>
      <c r="B117" s="6">
        <v>4.5999999999999996</v>
      </c>
      <c r="C117" s="8">
        <v>46</v>
      </c>
      <c r="D117" s="52" t="s">
        <v>3</v>
      </c>
      <c r="E117" s="8">
        <f t="shared" si="6"/>
        <v>-1.9497283681573865</v>
      </c>
      <c r="F117" s="8" t="str">
        <f t="shared" si="7"/>
        <v>bad</v>
      </c>
    </row>
    <row r="118" spans="1:14" ht="15.75" thickBot="1">
      <c r="A118" s="2">
        <v>2</v>
      </c>
      <c r="B118" s="6">
        <v>4.9000000000000004</v>
      </c>
      <c r="C118" s="8">
        <v>65</v>
      </c>
      <c r="D118" s="52" t="s">
        <v>3</v>
      </c>
      <c r="E118" s="8">
        <f t="shared" si="6"/>
        <v>-3.0299315171627619</v>
      </c>
      <c r="F118" s="8" t="str">
        <f t="shared" si="7"/>
        <v>bad</v>
      </c>
    </row>
    <row r="119" spans="1:14" ht="24.75" thickBot="1">
      <c r="A119" s="2">
        <v>4</v>
      </c>
      <c r="B119" s="6">
        <v>8</v>
      </c>
      <c r="C119" s="8">
        <v>44</v>
      </c>
      <c r="D119" s="52" t="s">
        <v>3</v>
      </c>
      <c r="E119" s="8">
        <f t="shared" si="6"/>
        <v>-2.6509400696960745</v>
      </c>
      <c r="F119" s="8" t="str">
        <f t="shared" si="7"/>
        <v>bad</v>
      </c>
      <c r="H119" s="41" t="s">
        <v>34</v>
      </c>
      <c r="I119" s="42"/>
      <c r="J119" s="42"/>
      <c r="K119" s="42"/>
      <c r="L119" s="42"/>
      <c r="M119" s="42"/>
      <c r="N119" s="43"/>
    </row>
    <row r="120" spans="1:14" ht="15.75" thickBot="1">
      <c r="A120" s="2">
        <v>1</v>
      </c>
      <c r="B120" s="6">
        <v>8.3000000000000007</v>
      </c>
      <c r="C120" s="8">
        <v>58</v>
      </c>
      <c r="D120" s="52" t="s">
        <v>3</v>
      </c>
      <c r="E120" s="8">
        <f t="shared" si="6"/>
        <v>-4.2864447660540357</v>
      </c>
      <c r="F120" s="8" t="str">
        <f t="shared" si="7"/>
        <v>good</v>
      </c>
    </row>
    <row r="121" spans="1:14" ht="15.75" thickBot="1">
      <c r="A121" s="2">
        <v>3</v>
      </c>
      <c r="B121" s="6">
        <v>8</v>
      </c>
      <c r="C121" s="8">
        <v>58</v>
      </c>
      <c r="D121" s="52" t="s">
        <v>3</v>
      </c>
      <c r="E121" s="8">
        <f t="shared" si="6"/>
        <v>-3.4682526164233729</v>
      </c>
      <c r="F121" s="8" t="str">
        <f t="shared" si="7"/>
        <v>bad</v>
      </c>
    </row>
    <row r="122" spans="1:14" ht="15.75" thickBot="1">
      <c r="A122" s="2">
        <v>1</v>
      </c>
      <c r="B122" s="6">
        <v>4.2</v>
      </c>
      <c r="C122" s="8">
        <v>45</v>
      </c>
      <c r="D122" s="52" t="s">
        <v>3</v>
      </c>
      <c r="E122" s="8">
        <f t="shared" si="6"/>
        <v>-2.5033813697984391</v>
      </c>
      <c r="F122" s="8" t="str">
        <f t="shared" si="7"/>
        <v>bad</v>
      </c>
    </row>
    <row r="123" spans="1:14" ht="15.75" thickBot="1">
      <c r="A123" s="2">
        <v>2</v>
      </c>
      <c r="B123" s="6">
        <v>3.1</v>
      </c>
      <c r="C123" s="8">
        <v>64</v>
      </c>
      <c r="D123" s="52" t="s">
        <v>3</v>
      </c>
      <c r="E123" s="8">
        <f t="shared" si="6"/>
        <v>-2.4010843530990984</v>
      </c>
      <c r="F123" s="8" t="str">
        <f t="shared" si="7"/>
        <v>bad</v>
      </c>
      <c r="I123" s="54" t="s">
        <v>39</v>
      </c>
      <c r="J123" s="54" t="s">
        <v>3</v>
      </c>
      <c r="K123" s="54" t="s">
        <v>40</v>
      </c>
      <c r="L123" s="54" t="s">
        <v>41</v>
      </c>
    </row>
    <row r="124" spans="1:14" ht="15.75" thickBot="1">
      <c r="A124" s="2">
        <v>2</v>
      </c>
      <c r="B124" s="6">
        <v>6.8</v>
      </c>
      <c r="C124" s="8">
        <v>49</v>
      </c>
      <c r="D124" s="52" t="s">
        <v>3</v>
      </c>
      <c r="E124" s="8">
        <f t="shared" si="6"/>
        <v>-3.1358824316654541</v>
      </c>
      <c r="F124" s="8" t="str">
        <f t="shared" si="7"/>
        <v>bad</v>
      </c>
      <c r="I124" s="8" t="s">
        <v>3</v>
      </c>
      <c r="J124" s="8">
        <f>COUNTIFS($D$111:$D$210,"Bad",$F$111:$F$210,"bad")</f>
        <v>38</v>
      </c>
      <c r="K124" s="8">
        <f>COUNTIFS($D$111:$D$210,"Bad",$F$111:$F$210,"good")</f>
        <v>9</v>
      </c>
      <c r="L124" s="8">
        <f>J124+K124</f>
        <v>47</v>
      </c>
    </row>
    <row r="125" spans="1:14" ht="15.75" thickBot="1">
      <c r="A125" s="2">
        <v>2</v>
      </c>
      <c r="B125" s="6">
        <v>7.4</v>
      </c>
      <c r="C125" s="8">
        <v>43</v>
      </c>
      <c r="D125" s="52" t="s">
        <v>3</v>
      </c>
      <c r="E125" s="8">
        <f t="shared" si="6"/>
        <v>-3.1383552502327543</v>
      </c>
      <c r="F125" s="8" t="str">
        <f t="shared" si="7"/>
        <v>bad</v>
      </c>
      <c r="I125" s="8" t="s">
        <v>4</v>
      </c>
      <c r="J125" s="8">
        <f>COUNTIFS($D$111:$D$210,"Good",$F$111:$F$210,"bad")</f>
        <v>12</v>
      </c>
      <c r="K125" s="8">
        <f>COUNTIFS($D$111:$D$210,"Good",$F$111:$F$210,"good")</f>
        <v>41</v>
      </c>
      <c r="L125" s="8">
        <f>J125+K125</f>
        <v>53</v>
      </c>
    </row>
    <row r="126" spans="1:14" ht="15.75" thickBot="1">
      <c r="A126" s="2">
        <v>1</v>
      </c>
      <c r="B126" s="6">
        <v>7</v>
      </c>
      <c r="C126" s="8">
        <v>43</v>
      </c>
      <c r="D126" s="52" t="s">
        <v>3</v>
      </c>
      <c r="E126" s="8">
        <f t="shared" si="6"/>
        <v>-3.3652973170110583</v>
      </c>
      <c r="F126" s="8" t="str">
        <f t="shared" si="7"/>
        <v>bad</v>
      </c>
      <c r="I126" s="54" t="s">
        <v>41</v>
      </c>
      <c r="J126" s="54">
        <f>SUM(J124:J125)</f>
        <v>50</v>
      </c>
      <c r="K126" s="54">
        <f t="shared" ref="K126:L126" si="8">SUM(K124:K125)</f>
        <v>50</v>
      </c>
      <c r="L126" s="54">
        <f t="shared" si="8"/>
        <v>100</v>
      </c>
    </row>
    <row r="127" spans="1:14" ht="15.75" thickBot="1">
      <c r="A127" s="2">
        <v>1</v>
      </c>
      <c r="B127" s="6">
        <v>7.8</v>
      </c>
      <c r="C127" s="8">
        <v>57</v>
      </c>
      <c r="D127" s="52" t="s">
        <v>3</v>
      </c>
      <c r="E127" s="8">
        <f t="shared" si="6"/>
        <v>-4.0881434391687987</v>
      </c>
      <c r="F127" s="8" t="str">
        <f t="shared" si="7"/>
        <v>bad</v>
      </c>
    </row>
    <row r="128" spans="1:14" ht="15.75" thickBot="1">
      <c r="A128" s="2">
        <v>1</v>
      </c>
      <c r="B128" s="6">
        <v>8.1999999999999993</v>
      </c>
      <c r="C128" s="8">
        <v>58</v>
      </c>
      <c r="D128" s="52" t="s">
        <v>3</v>
      </c>
      <c r="E128" s="8">
        <f t="shared" si="6"/>
        <v>-4.2533258555018483</v>
      </c>
      <c r="F128" s="8" t="str">
        <f t="shared" si="7"/>
        <v>good</v>
      </c>
      <c r="I128" s="59" t="s">
        <v>42</v>
      </c>
      <c r="J128" s="60">
        <f>K124/L124</f>
        <v>0.19148936170212766</v>
      </c>
      <c r="K128" s="55" t="s">
        <v>6</v>
      </c>
      <c r="L128" s="56">
        <v>0.19148000000000001</v>
      </c>
    </row>
    <row r="129" spans="1:12" ht="15.75" thickBot="1">
      <c r="A129" s="2">
        <v>0</v>
      </c>
      <c r="B129" s="6">
        <v>4.5</v>
      </c>
      <c r="C129" s="8">
        <v>52</v>
      </c>
      <c r="D129" s="52" t="s">
        <v>3</v>
      </c>
      <c r="E129" s="8">
        <f t="shared" si="6"/>
        <v>-3.1911032293121737</v>
      </c>
      <c r="F129" s="8" t="str">
        <f t="shared" si="7"/>
        <v>bad</v>
      </c>
      <c r="I129" s="23" t="s">
        <v>43</v>
      </c>
      <c r="J129" s="57">
        <f>J125/L125</f>
        <v>0.22641509433962265</v>
      </c>
      <c r="K129" s="57" t="s">
        <v>6</v>
      </c>
      <c r="L129" s="58">
        <v>0.22641</v>
      </c>
    </row>
    <row r="130" spans="1:12" ht="15.75" thickBot="1">
      <c r="A130" s="2">
        <v>3</v>
      </c>
      <c r="B130" s="6">
        <v>8.1</v>
      </c>
      <c r="C130" s="8">
        <v>48</v>
      </c>
      <c r="D130" s="52" t="s">
        <v>3</v>
      </c>
      <c r="E130" s="8">
        <f t="shared" si="6"/>
        <v>-3.1743037857325258</v>
      </c>
      <c r="F130" s="8" t="str">
        <f t="shared" si="7"/>
        <v>bad</v>
      </c>
    </row>
    <row r="131" spans="1:12" ht="15.75" thickBot="1">
      <c r="A131" s="2">
        <v>2</v>
      </c>
      <c r="B131" s="6">
        <v>6.6</v>
      </c>
      <c r="C131" s="8">
        <v>57</v>
      </c>
      <c r="D131" s="52" t="s">
        <v>3</v>
      </c>
      <c r="E131" s="8">
        <f t="shared" si="6"/>
        <v>-3.3312988035555078</v>
      </c>
      <c r="F131" s="8" t="str">
        <f t="shared" si="7"/>
        <v>bad</v>
      </c>
    </row>
    <row r="132" spans="1:12" ht="15.75" thickBot="1">
      <c r="A132" s="2">
        <v>4</v>
      </c>
      <c r="B132" s="6">
        <v>19.8</v>
      </c>
      <c r="C132" s="8">
        <v>50</v>
      </c>
      <c r="D132" s="52" t="s">
        <v>3</v>
      </c>
      <c r="E132" s="8">
        <f t="shared" si="6"/>
        <v>-6.7552121595999202</v>
      </c>
      <c r="F132" s="8" t="str">
        <f t="shared" si="7"/>
        <v>good</v>
      </c>
    </row>
    <row r="133" spans="1:12" ht="15.75" thickBot="1">
      <c r="A133" s="2">
        <v>1</v>
      </c>
      <c r="B133" s="6">
        <v>7.8</v>
      </c>
      <c r="C133" s="8">
        <v>43</v>
      </c>
      <c r="D133" s="52" t="s">
        <v>3</v>
      </c>
      <c r="E133" s="8">
        <f t="shared" si="6"/>
        <v>-3.6302486014285513</v>
      </c>
      <c r="F133" s="8" t="str">
        <f t="shared" si="7"/>
        <v>bad</v>
      </c>
    </row>
    <row r="134" spans="1:12" ht="15.75" thickBot="1">
      <c r="A134" s="2">
        <v>2</v>
      </c>
      <c r="B134" s="6">
        <v>4.5999999999999996</v>
      </c>
      <c r="C134" s="8">
        <v>55</v>
      </c>
      <c r="D134" s="52" t="s">
        <v>3</v>
      </c>
      <c r="E134" s="8">
        <f t="shared" si="6"/>
        <v>-2.6035070442631678</v>
      </c>
      <c r="F134" s="8" t="str">
        <f t="shared" si="7"/>
        <v>bad</v>
      </c>
    </row>
    <row r="135" spans="1:12" ht="15.75" thickBot="1">
      <c r="A135" s="2">
        <v>0</v>
      </c>
      <c r="B135" s="6">
        <v>7.4</v>
      </c>
      <c r="C135" s="8">
        <v>54</v>
      </c>
      <c r="D135" s="52" t="s">
        <v>3</v>
      </c>
      <c r="E135" s="8">
        <f t="shared" si="6"/>
        <v>-4.2169651835741941</v>
      </c>
      <c r="F135" s="8" t="str">
        <f t="shared" si="7"/>
        <v>good</v>
      </c>
    </row>
    <row r="136" spans="1:12" ht="15.75" thickBot="1">
      <c r="A136" s="2">
        <v>4</v>
      </c>
      <c r="B136" s="6">
        <v>5.5</v>
      </c>
      <c r="C136" s="8">
        <v>55</v>
      </c>
      <c r="D136" s="52" t="s">
        <v>3</v>
      </c>
      <c r="E136" s="8">
        <f t="shared" si="6"/>
        <v>-2.1827418212587455</v>
      </c>
      <c r="F136" s="8" t="str">
        <f t="shared" si="7"/>
        <v>bad</v>
      </c>
    </row>
    <row r="137" spans="1:12" ht="15.75" thickBot="1">
      <c r="A137" s="2">
        <v>3</v>
      </c>
      <c r="B137" s="6">
        <v>16.399999999999999</v>
      </c>
      <c r="C137" s="8">
        <v>62</v>
      </c>
      <c r="D137" s="52" t="s">
        <v>3</v>
      </c>
      <c r="E137" s="8">
        <f t="shared" si="6"/>
        <v>-6.3810681993042646</v>
      </c>
      <c r="F137" s="8" t="str">
        <f t="shared" si="7"/>
        <v>good</v>
      </c>
    </row>
    <row r="138" spans="1:12" ht="15.75" thickBot="1">
      <c r="A138" s="2">
        <v>1</v>
      </c>
      <c r="B138" s="6">
        <v>7.6</v>
      </c>
      <c r="C138" s="8">
        <v>43</v>
      </c>
      <c r="D138" s="52" t="s">
        <v>3</v>
      </c>
      <c r="E138" s="8">
        <f t="shared" si="6"/>
        <v>-3.5640107803241783</v>
      </c>
      <c r="F138" s="8" t="str">
        <f t="shared" si="7"/>
        <v>bad</v>
      </c>
    </row>
    <row r="139" spans="1:12" ht="15.75" thickBot="1">
      <c r="A139" s="2">
        <v>2</v>
      </c>
      <c r="B139" s="6">
        <v>4.9000000000000004</v>
      </c>
      <c r="C139" s="8">
        <v>64</v>
      </c>
      <c r="D139" s="52" t="s">
        <v>3</v>
      </c>
      <c r="E139" s="8">
        <f t="shared" si="6"/>
        <v>-2.9972247430384584</v>
      </c>
      <c r="F139" s="8" t="str">
        <f t="shared" si="7"/>
        <v>bad</v>
      </c>
    </row>
    <row r="140" spans="1:12" ht="15.75" thickBot="1">
      <c r="A140" s="2">
        <v>2</v>
      </c>
      <c r="B140" s="6">
        <v>4.2</v>
      </c>
      <c r="C140" s="8">
        <v>64</v>
      </c>
      <c r="D140" s="52" t="s">
        <v>3</v>
      </c>
      <c r="E140" s="8">
        <f t="shared" si="6"/>
        <v>-2.7653923691731519</v>
      </c>
      <c r="F140" s="8" t="str">
        <f t="shared" si="7"/>
        <v>bad</v>
      </c>
    </row>
    <row r="141" spans="1:12" ht="15.75" thickBot="1">
      <c r="A141" s="2">
        <v>1</v>
      </c>
      <c r="B141" s="6">
        <v>9</v>
      </c>
      <c r="C141" s="8">
        <v>46</v>
      </c>
      <c r="D141" s="52" t="s">
        <v>3</v>
      </c>
      <c r="E141" s="8">
        <f t="shared" si="6"/>
        <v>-4.1257958504277017</v>
      </c>
      <c r="F141" s="8" t="str">
        <f t="shared" si="7"/>
        <v>bad</v>
      </c>
    </row>
    <row r="142" spans="1:12" ht="15.75" thickBot="1">
      <c r="A142" s="2">
        <v>4</v>
      </c>
      <c r="B142" s="6">
        <v>9.1999999999999993</v>
      </c>
      <c r="C142" s="8">
        <v>48</v>
      </c>
      <c r="D142" s="52" t="s">
        <v>3</v>
      </c>
      <c r="E142" s="8">
        <f t="shared" si="6"/>
        <v>-3.1791940928195275</v>
      </c>
      <c r="F142" s="8" t="str">
        <f t="shared" si="7"/>
        <v>bad</v>
      </c>
    </row>
    <row r="143" spans="1:12" ht="15.75" thickBot="1">
      <c r="A143" s="2">
        <v>5</v>
      </c>
      <c r="B143" s="6">
        <v>4.5999999999999996</v>
      </c>
      <c r="C143" s="8">
        <v>58</v>
      </c>
      <c r="D143" s="52" t="s">
        <v>3</v>
      </c>
      <c r="E143" s="8">
        <f t="shared" si="6"/>
        <v>-1.623374239674924</v>
      </c>
      <c r="F143" s="8" t="str">
        <f t="shared" si="7"/>
        <v>bad</v>
      </c>
    </row>
    <row r="144" spans="1:12" ht="15.75" thickBot="1">
      <c r="A144" s="2">
        <v>2</v>
      </c>
      <c r="B144" s="6">
        <v>6.4</v>
      </c>
      <c r="C144" s="8">
        <v>67</v>
      </c>
      <c r="D144" s="52" t="s">
        <v>3</v>
      </c>
      <c r="E144" s="8">
        <f t="shared" si="6"/>
        <v>-3.5921287236941684</v>
      </c>
      <c r="F144" s="8" t="str">
        <f t="shared" si="7"/>
        <v>bad</v>
      </c>
    </row>
    <row r="145" spans="1:6" ht="15.75" thickBot="1">
      <c r="A145" s="2">
        <v>2</v>
      </c>
      <c r="B145" s="6">
        <v>6</v>
      </c>
      <c r="C145" s="8">
        <v>50</v>
      </c>
      <c r="D145" s="52" t="s">
        <v>3</v>
      </c>
      <c r="E145" s="8">
        <f t="shared" si="6"/>
        <v>-2.9036379213722645</v>
      </c>
      <c r="F145" s="8" t="str">
        <f t="shared" si="7"/>
        <v>bad</v>
      </c>
    </row>
    <row r="146" spans="1:6" ht="15.75" thickBot="1">
      <c r="A146" s="2">
        <v>1</v>
      </c>
      <c r="B146" s="6">
        <v>10.5</v>
      </c>
      <c r="C146" s="8">
        <v>54</v>
      </c>
      <c r="D146" s="52" t="s">
        <v>3</v>
      </c>
      <c r="E146" s="8">
        <f t="shared" si="6"/>
        <v>-4.884233701704928</v>
      </c>
      <c r="F146" s="8" t="str">
        <f t="shared" si="7"/>
        <v>good</v>
      </c>
    </row>
    <row r="147" spans="1:6" ht="15.75" thickBot="1">
      <c r="A147" s="2">
        <v>2</v>
      </c>
      <c r="B147" s="6">
        <v>8.9</v>
      </c>
      <c r="C147" s="8">
        <v>64</v>
      </c>
      <c r="D147" s="52" t="s">
        <v>3</v>
      </c>
      <c r="E147" s="8">
        <f t="shared" si="6"/>
        <v>-4.3219811651259246</v>
      </c>
      <c r="F147" s="8" t="str">
        <f t="shared" si="7"/>
        <v>good</v>
      </c>
    </row>
    <row r="148" spans="1:6" ht="15.75" thickBot="1">
      <c r="A148" s="2">
        <v>3</v>
      </c>
      <c r="B148" s="6">
        <v>12.1</v>
      </c>
      <c r="C148" s="8">
        <v>51</v>
      </c>
      <c r="D148" s="52" t="s">
        <v>3</v>
      </c>
      <c r="E148" s="8">
        <f t="shared" si="6"/>
        <v>-4.5971805301929018</v>
      </c>
      <c r="F148" s="8" t="str">
        <f t="shared" si="7"/>
        <v>good</v>
      </c>
    </row>
    <row r="149" spans="1:6" ht="15.75" thickBot="1">
      <c r="A149" s="2">
        <v>4</v>
      </c>
      <c r="B149" s="6">
        <v>9.5</v>
      </c>
      <c r="C149" s="8">
        <v>62</v>
      </c>
      <c r="D149" s="52" t="s">
        <v>3</v>
      </c>
      <c r="E149" s="8">
        <f t="shared" si="6"/>
        <v>-3.7364456622163345</v>
      </c>
      <c r="F149" s="8" t="str">
        <f t="shared" si="7"/>
        <v>bad</v>
      </c>
    </row>
    <row r="150" spans="1:6" ht="15.75" thickBot="1">
      <c r="A150" s="2">
        <v>2</v>
      </c>
      <c r="B150" s="6">
        <v>9.1</v>
      </c>
      <c r="C150" s="8">
        <v>53</v>
      </c>
      <c r="D150" s="52" t="s">
        <v>3</v>
      </c>
      <c r="E150" s="8">
        <f t="shared" si="6"/>
        <v>-4.0284444708629596</v>
      </c>
      <c r="F150" s="8" t="str">
        <f t="shared" si="7"/>
        <v>bad</v>
      </c>
    </row>
    <row r="151" spans="1:6" ht="15.75" thickBot="1">
      <c r="A151" s="2">
        <v>3</v>
      </c>
      <c r="B151" s="6">
        <v>7.1</v>
      </c>
      <c r="C151" s="8">
        <v>63</v>
      </c>
      <c r="D151" s="52" t="s">
        <v>3</v>
      </c>
      <c r="E151" s="8">
        <f t="shared" si="6"/>
        <v>-3.3337162920752097</v>
      </c>
      <c r="F151" s="8" t="str">
        <f t="shared" si="7"/>
        <v>bad</v>
      </c>
    </row>
    <row r="152" spans="1:6" ht="15.75" thickBot="1">
      <c r="A152" s="2">
        <v>3</v>
      </c>
      <c r="B152" s="6">
        <v>4.0999999999999996</v>
      </c>
      <c r="C152" s="8">
        <v>59</v>
      </c>
      <c r="D152" s="52" t="s">
        <v>3</v>
      </c>
      <c r="E152" s="8">
        <f t="shared" si="6"/>
        <v>-2.2093218790123972</v>
      </c>
      <c r="F152" s="8" t="str">
        <f t="shared" si="7"/>
        <v>bad</v>
      </c>
    </row>
    <row r="153" spans="1:6" ht="15.75" thickBot="1">
      <c r="A153" s="2">
        <v>3</v>
      </c>
      <c r="B153" s="6">
        <v>4.4000000000000004</v>
      </c>
      <c r="C153" s="8">
        <v>50</v>
      </c>
      <c r="D153" s="52" t="s">
        <v>3</v>
      </c>
      <c r="E153" s="8">
        <f t="shared" si="6"/>
        <v>-2.014317643550227</v>
      </c>
      <c r="F153" s="8" t="str">
        <f t="shared" si="7"/>
        <v>bad</v>
      </c>
    </row>
    <row r="154" spans="1:6" ht="15.75" thickBot="1">
      <c r="A154" s="2">
        <v>1</v>
      </c>
      <c r="B154" s="6">
        <v>5.2</v>
      </c>
      <c r="C154" s="8">
        <v>58</v>
      </c>
      <c r="D154" s="52" t="s">
        <v>3</v>
      </c>
      <c r="E154" s="8">
        <f t="shared" si="6"/>
        <v>-3.2597585389362491</v>
      </c>
      <c r="F154" s="8" t="str">
        <f t="shared" si="7"/>
        <v>bad</v>
      </c>
    </row>
    <row r="155" spans="1:6" ht="15.75" thickBot="1">
      <c r="A155" s="2">
        <v>1</v>
      </c>
      <c r="B155" s="6">
        <v>4.2</v>
      </c>
      <c r="C155" s="8">
        <v>57</v>
      </c>
      <c r="D155" s="52" t="s">
        <v>3</v>
      </c>
      <c r="E155" s="8">
        <f t="shared" si="6"/>
        <v>-2.8958626592900796</v>
      </c>
      <c r="F155" s="8" t="str">
        <f t="shared" si="7"/>
        <v>bad</v>
      </c>
    </row>
    <row r="156" spans="1:6" ht="15.75" thickBot="1">
      <c r="A156" s="2">
        <v>1</v>
      </c>
      <c r="B156" s="6">
        <v>6.5</v>
      </c>
      <c r="C156" s="8">
        <v>58</v>
      </c>
      <c r="D156" s="52" t="s">
        <v>3</v>
      </c>
      <c r="E156" s="8">
        <f t="shared" si="6"/>
        <v>-3.6903043761146757</v>
      </c>
      <c r="F156" s="8" t="str">
        <f t="shared" si="7"/>
        <v>bad</v>
      </c>
    </row>
    <row r="157" spans="1:6" ht="15.75" thickBot="1">
      <c r="A157" s="2">
        <v>2</v>
      </c>
      <c r="B157" s="6">
        <v>6.8</v>
      </c>
      <c r="C157" s="8">
        <v>55</v>
      </c>
      <c r="D157" s="52" t="s">
        <v>3</v>
      </c>
      <c r="E157" s="8">
        <f t="shared" si="6"/>
        <v>-3.3321230764112739</v>
      </c>
      <c r="F157" s="8" t="str">
        <f t="shared" si="7"/>
        <v>bad</v>
      </c>
    </row>
    <row r="158" spans="1:6" ht="15.75" thickBot="1">
      <c r="A158" s="3">
        <v>1</v>
      </c>
      <c r="B158" s="6">
        <v>16.7</v>
      </c>
      <c r="C158" s="8">
        <v>69</v>
      </c>
      <c r="D158" s="52" t="s">
        <v>4</v>
      </c>
      <c r="E158" s="8">
        <f t="shared" si="6"/>
        <v>-7.4282077678050511</v>
      </c>
      <c r="F158" s="8" t="str">
        <f t="shared" si="7"/>
        <v>good</v>
      </c>
    </row>
    <row r="159" spans="1:6" ht="15.75" thickBot="1">
      <c r="A159" s="3">
        <v>5</v>
      </c>
      <c r="B159" s="6">
        <v>11.8</v>
      </c>
      <c r="C159" s="8">
        <v>42</v>
      </c>
      <c r="D159" s="52" t="s">
        <v>4</v>
      </c>
      <c r="E159" s="8">
        <f t="shared" si="6"/>
        <v>-3.4846274134435093</v>
      </c>
      <c r="F159" s="8" t="str">
        <f t="shared" si="7"/>
        <v>bad</v>
      </c>
    </row>
    <row r="160" spans="1:6" ht="15.75" thickBot="1">
      <c r="A160" s="3">
        <v>2</v>
      </c>
      <c r="B160" s="6">
        <v>10.6</v>
      </c>
      <c r="C160" s="8">
        <v>39</v>
      </c>
      <c r="D160" s="52" t="s">
        <v>4</v>
      </c>
      <c r="E160" s="8">
        <f t="shared" si="6"/>
        <v>-4.0673332914055127</v>
      </c>
      <c r="F160" s="8" t="str">
        <f t="shared" si="7"/>
        <v>bad</v>
      </c>
    </row>
    <row r="161" spans="1:6" ht="15.75" thickBot="1">
      <c r="A161" s="3">
        <v>3</v>
      </c>
      <c r="B161" s="6">
        <v>6</v>
      </c>
      <c r="C161" s="8">
        <v>68</v>
      </c>
      <c r="D161" s="52" t="s">
        <v>4</v>
      </c>
      <c r="E161" s="8">
        <f t="shared" si="6"/>
        <v>-3.1329421466226735</v>
      </c>
      <c r="F161" s="8" t="str">
        <f t="shared" si="7"/>
        <v>bad</v>
      </c>
    </row>
    <row r="162" spans="1:6" ht="15.75" thickBot="1">
      <c r="A162" s="3">
        <v>2</v>
      </c>
      <c r="B162" s="6">
        <v>13.6</v>
      </c>
      <c r="C162" s="8">
        <v>55</v>
      </c>
      <c r="D162" s="52" t="s">
        <v>4</v>
      </c>
      <c r="E162" s="8">
        <f t="shared" si="6"/>
        <v>-5.5842089939599653</v>
      </c>
      <c r="F162" s="8" t="str">
        <f t="shared" si="7"/>
        <v>good</v>
      </c>
    </row>
    <row r="163" spans="1:6" ht="15.75" thickBot="1">
      <c r="A163" s="3">
        <v>0</v>
      </c>
      <c r="B163" s="6">
        <v>8.5</v>
      </c>
      <c r="C163" s="8">
        <v>58</v>
      </c>
      <c r="D163" s="52" t="s">
        <v>4</v>
      </c>
      <c r="E163" s="8">
        <f t="shared" si="6"/>
        <v>-4.7121002961454597</v>
      </c>
      <c r="F163" s="8" t="str">
        <f t="shared" si="7"/>
        <v>good</v>
      </c>
    </row>
    <row r="164" spans="1:6" ht="15.75" thickBot="1">
      <c r="A164" s="3">
        <v>2</v>
      </c>
      <c r="B164" s="6">
        <v>10.1</v>
      </c>
      <c r="C164" s="8">
        <v>59</v>
      </c>
      <c r="D164" s="52" t="s">
        <v>4</v>
      </c>
      <c r="E164" s="8">
        <f t="shared" si="6"/>
        <v>-4.5558742211306473</v>
      </c>
      <c r="F164" s="8" t="str">
        <f t="shared" si="7"/>
        <v>good</v>
      </c>
    </row>
    <row r="165" spans="1:6" ht="15.75" thickBot="1">
      <c r="A165" s="3">
        <v>0</v>
      </c>
      <c r="B165" s="6">
        <v>14.1</v>
      </c>
      <c r="C165" s="8">
        <v>59</v>
      </c>
      <c r="D165" s="52" t="s">
        <v>4</v>
      </c>
      <c r="E165" s="8">
        <f t="shared" si="6"/>
        <v>-6.5994660611922153</v>
      </c>
      <c r="F165" s="8" t="str">
        <f t="shared" si="7"/>
        <v>good</v>
      </c>
    </row>
    <row r="166" spans="1:6" ht="15.75" thickBot="1">
      <c r="A166" s="3">
        <v>0</v>
      </c>
      <c r="B166" s="6">
        <v>8.4</v>
      </c>
      <c r="C166" s="8">
        <v>56</v>
      </c>
      <c r="D166" s="52" t="s">
        <v>4</v>
      </c>
      <c r="E166" s="8">
        <f t="shared" si="6"/>
        <v>-4.6135678373446662</v>
      </c>
      <c r="F166" s="8" t="str">
        <f t="shared" si="7"/>
        <v>good</v>
      </c>
    </row>
    <row r="167" spans="1:6" ht="15.75" thickBot="1">
      <c r="A167" s="3">
        <v>2</v>
      </c>
      <c r="B167" s="6">
        <v>9.1999999999999993</v>
      </c>
      <c r="C167" s="8">
        <v>69</v>
      </c>
      <c r="D167" s="52" t="s">
        <v>4</v>
      </c>
      <c r="E167" s="8">
        <f t="shared" si="6"/>
        <v>-4.5848717674040005</v>
      </c>
      <c r="F167" s="8" t="str">
        <f t="shared" si="7"/>
        <v>good</v>
      </c>
    </row>
    <row r="168" spans="1:6" ht="15.75" thickBot="1">
      <c r="A168" s="3">
        <v>2</v>
      </c>
      <c r="B168" s="6">
        <v>7.7</v>
      </c>
      <c r="C168" s="8">
        <v>67</v>
      </c>
      <c r="D168" s="52" t="s">
        <v>4</v>
      </c>
      <c r="E168" s="8">
        <f t="shared" si="6"/>
        <v>-4.022674560872594</v>
      </c>
      <c r="F168" s="8" t="str">
        <f t="shared" si="7"/>
        <v>bad</v>
      </c>
    </row>
    <row r="169" spans="1:6" ht="15.75" thickBot="1">
      <c r="A169" s="3">
        <v>2</v>
      </c>
      <c r="B169" s="6">
        <v>10.7</v>
      </c>
      <c r="C169" s="8">
        <v>48</v>
      </c>
      <c r="D169" s="52" t="s">
        <v>4</v>
      </c>
      <c r="E169" s="8">
        <f t="shared" si="6"/>
        <v>-4.3948131690764294</v>
      </c>
      <c r="F169" s="8" t="str">
        <f t="shared" si="7"/>
        <v>good</v>
      </c>
    </row>
    <row r="170" spans="1:6" ht="15.75" thickBot="1">
      <c r="A170" s="3">
        <v>2</v>
      </c>
      <c r="B170" s="6">
        <v>12.5</v>
      </c>
      <c r="C170" s="8">
        <v>55</v>
      </c>
      <c r="D170" s="52" t="s">
        <v>4</v>
      </c>
      <c r="E170" s="8">
        <f t="shared" si="6"/>
        <v>-5.2199009778859136</v>
      </c>
      <c r="F170" s="8" t="str">
        <f t="shared" si="7"/>
        <v>good</v>
      </c>
    </row>
    <row r="171" spans="1:6" ht="15.75" thickBot="1">
      <c r="A171" s="3">
        <v>2</v>
      </c>
      <c r="B171" s="6">
        <v>9.1</v>
      </c>
      <c r="C171" s="8">
        <v>65</v>
      </c>
      <c r="D171" s="52" t="s">
        <v>4</v>
      </c>
      <c r="E171" s="8">
        <f t="shared" si="6"/>
        <v>-4.4209257603546011</v>
      </c>
      <c r="F171" s="8" t="str">
        <f t="shared" si="7"/>
        <v>good</v>
      </c>
    </row>
    <row r="172" spans="1:6" ht="15.75" thickBot="1">
      <c r="A172" s="3">
        <v>2</v>
      </c>
      <c r="B172" s="6">
        <v>11.8</v>
      </c>
      <c r="C172" s="8">
        <v>55</v>
      </c>
      <c r="D172" s="52" t="s">
        <v>4</v>
      </c>
      <c r="E172" s="8">
        <f t="shared" si="6"/>
        <v>-4.9880686040206061</v>
      </c>
      <c r="F172" s="8" t="str">
        <f t="shared" si="7"/>
        <v>good</v>
      </c>
    </row>
    <row r="173" spans="1:6" ht="15.75" thickBot="1">
      <c r="A173" s="3">
        <v>1</v>
      </c>
      <c r="B173" s="6">
        <v>11.9</v>
      </c>
      <c r="C173" s="8">
        <v>51</v>
      </c>
      <c r="D173" s="52" t="s">
        <v>4</v>
      </c>
      <c r="E173" s="8">
        <f t="shared" si="6"/>
        <v>-5.2497781270626307</v>
      </c>
      <c r="F173" s="8" t="str">
        <f t="shared" si="7"/>
        <v>good</v>
      </c>
    </row>
    <row r="174" spans="1:6" ht="15.75" thickBot="1">
      <c r="A174" s="3">
        <v>1</v>
      </c>
      <c r="B174" s="6">
        <v>9.4</v>
      </c>
      <c r="C174" s="8">
        <v>68</v>
      </c>
      <c r="D174" s="52" t="s">
        <v>4</v>
      </c>
      <c r="E174" s="8">
        <f t="shared" si="6"/>
        <v>-4.9778205233711219</v>
      </c>
      <c r="F174" s="8" t="str">
        <f t="shared" si="7"/>
        <v>good</v>
      </c>
    </row>
    <row r="175" spans="1:6" ht="15.75" thickBot="1">
      <c r="A175" s="3">
        <v>1</v>
      </c>
      <c r="B175" s="6">
        <v>10.7</v>
      </c>
      <c r="C175" s="8">
        <v>49</v>
      </c>
      <c r="D175" s="52" t="s">
        <v>4</v>
      </c>
      <c r="E175" s="8">
        <f t="shared" si="6"/>
        <v>-4.7869376521877847</v>
      </c>
      <c r="F175" s="8" t="str">
        <f t="shared" si="7"/>
        <v>good</v>
      </c>
    </row>
    <row r="176" spans="1:6" ht="15.75" thickBot="1">
      <c r="A176" s="3">
        <v>4</v>
      </c>
      <c r="B176" s="6">
        <v>15.1</v>
      </c>
      <c r="C176" s="8">
        <v>66</v>
      </c>
      <c r="D176" s="52" t="s">
        <v>4</v>
      </c>
      <c r="E176" s="8">
        <f t="shared" ref="E176:E210" si="9">$G$86*A176 + $G$87*B176 + $G$88*C176</f>
        <v>-5.7219317496360009</v>
      </c>
      <c r="F176" s="8" t="str">
        <f t="shared" ref="F176:F210" si="10">IF(E176&gt;=$G$106,"bad","good")</f>
        <v>good</v>
      </c>
    </row>
    <row r="177" spans="1:6" ht="15.75" thickBot="1">
      <c r="A177" s="3">
        <v>3</v>
      </c>
      <c r="B177" s="6">
        <v>15.9</v>
      </c>
      <c r="C177" s="8">
        <v>69</v>
      </c>
      <c r="D177" s="52" t="s">
        <v>4</v>
      </c>
      <c r="E177" s="8">
        <f t="shared" si="9"/>
        <v>-6.4444210654134553</v>
      </c>
      <c r="F177" s="8" t="str">
        <f t="shared" si="10"/>
        <v>good</v>
      </c>
    </row>
    <row r="178" spans="1:6" ht="15.75" thickBot="1">
      <c r="A178" s="3">
        <v>2</v>
      </c>
      <c r="B178" s="6">
        <v>13.7</v>
      </c>
      <c r="C178" s="8">
        <v>66</v>
      </c>
      <c r="D178" s="52" t="s">
        <v>4</v>
      </c>
      <c r="E178" s="8">
        <f t="shared" si="9"/>
        <v>-5.9771024198794898</v>
      </c>
      <c r="F178" s="8" t="str">
        <f t="shared" si="10"/>
        <v>good</v>
      </c>
    </row>
    <row r="179" spans="1:6" ht="15.75" thickBot="1">
      <c r="A179" s="3">
        <v>3</v>
      </c>
      <c r="B179" s="6">
        <v>12.6</v>
      </c>
      <c r="C179" s="8">
        <v>60</v>
      </c>
      <c r="D179" s="52" t="s">
        <v>4</v>
      </c>
      <c r="E179" s="8">
        <f t="shared" si="9"/>
        <v>-5.0571360500725655</v>
      </c>
      <c r="F179" s="8" t="str">
        <f t="shared" si="10"/>
        <v>good</v>
      </c>
    </row>
    <row r="180" spans="1:6" ht="15.75" thickBot="1">
      <c r="A180" s="3">
        <v>1</v>
      </c>
      <c r="B180" s="6">
        <v>12.1</v>
      </c>
      <c r="C180" s="8">
        <v>52</v>
      </c>
      <c r="D180" s="52" t="s">
        <v>4</v>
      </c>
      <c r="E180" s="8">
        <f t="shared" si="9"/>
        <v>-5.3487227222913072</v>
      </c>
      <c r="F180" s="8" t="str">
        <f t="shared" si="10"/>
        <v>good</v>
      </c>
    </row>
    <row r="181" spans="1:6" ht="15.75" thickBot="1">
      <c r="A181" s="3">
        <v>2</v>
      </c>
      <c r="B181" s="6">
        <v>11.3</v>
      </c>
      <c r="C181" s="8">
        <v>49</v>
      </c>
      <c r="D181" s="52" t="s">
        <v>4</v>
      </c>
      <c r="E181" s="8">
        <f t="shared" si="9"/>
        <v>-4.6262334065138537</v>
      </c>
      <c r="F181" s="8" t="str">
        <f t="shared" si="10"/>
        <v>good</v>
      </c>
    </row>
    <row r="182" spans="1:6" ht="15.75" thickBot="1">
      <c r="A182" s="3">
        <v>0</v>
      </c>
      <c r="B182" s="6">
        <v>12.5</v>
      </c>
      <c r="C182" s="8">
        <v>62</v>
      </c>
      <c r="D182" s="52" t="s">
        <v>4</v>
      </c>
      <c r="E182" s="8">
        <f t="shared" si="9"/>
        <v>-6.1676838147301396</v>
      </c>
      <c r="F182" s="8" t="str">
        <f t="shared" si="10"/>
        <v>good</v>
      </c>
    </row>
    <row r="183" spans="1:6" ht="15.75" thickBot="1">
      <c r="A183" s="3">
        <v>2</v>
      </c>
      <c r="B183" s="6">
        <v>11.3</v>
      </c>
      <c r="C183" s="8">
        <v>49</v>
      </c>
      <c r="D183" s="52" t="s">
        <v>4</v>
      </c>
      <c r="E183" s="8">
        <f t="shared" si="9"/>
        <v>-4.6262334065138537</v>
      </c>
      <c r="F183" s="8" t="str">
        <f t="shared" si="10"/>
        <v>good</v>
      </c>
    </row>
    <row r="184" spans="1:6" ht="15.75" thickBot="1">
      <c r="A184" s="3">
        <v>1</v>
      </c>
      <c r="B184" s="6">
        <v>10.5</v>
      </c>
      <c r="C184" s="8">
        <v>39</v>
      </c>
      <c r="D184" s="52" t="s">
        <v>4</v>
      </c>
      <c r="E184" s="8">
        <f t="shared" si="9"/>
        <v>-4.3936320898403771</v>
      </c>
      <c r="F184" s="8" t="str">
        <f t="shared" si="10"/>
        <v>good</v>
      </c>
    </row>
    <row r="185" spans="1:6" ht="15.75" thickBot="1">
      <c r="A185" s="3">
        <v>2</v>
      </c>
      <c r="B185" s="6">
        <v>9.8000000000000007</v>
      </c>
      <c r="C185" s="8">
        <v>39</v>
      </c>
      <c r="D185" s="52" t="s">
        <v>4</v>
      </c>
      <c r="E185" s="8">
        <f t="shared" si="9"/>
        <v>-3.8023820069880205</v>
      </c>
      <c r="F185" s="8" t="str">
        <f t="shared" si="10"/>
        <v>bad</v>
      </c>
    </row>
    <row r="186" spans="1:6" ht="15.75" thickBot="1">
      <c r="A186" s="3">
        <v>0</v>
      </c>
      <c r="B186" s="6">
        <v>10.1</v>
      </c>
      <c r="C186" s="8">
        <v>48</v>
      </c>
      <c r="D186" s="52" t="s">
        <v>4</v>
      </c>
      <c r="E186" s="8">
        <f t="shared" si="9"/>
        <v>-4.914935123737413</v>
      </c>
      <c r="F186" s="8" t="str">
        <f t="shared" si="10"/>
        <v>good</v>
      </c>
    </row>
    <row r="187" spans="1:6" ht="15.75" thickBot="1">
      <c r="A187" s="3">
        <v>4</v>
      </c>
      <c r="B187" s="6">
        <v>4.8</v>
      </c>
      <c r="C187" s="8">
        <v>69</v>
      </c>
      <c r="D187" s="52" t="s">
        <v>4</v>
      </c>
      <c r="E187" s="8">
        <f t="shared" si="9"/>
        <v>-2.4088042851336855</v>
      </c>
      <c r="F187" s="8" t="str">
        <f t="shared" si="10"/>
        <v>bad</v>
      </c>
    </row>
    <row r="188" spans="1:6" ht="15.75" thickBot="1">
      <c r="A188" s="3">
        <v>1</v>
      </c>
      <c r="B188" s="6">
        <v>12.9</v>
      </c>
      <c r="C188" s="8">
        <v>56</v>
      </c>
      <c r="D188" s="52" t="s">
        <v>4</v>
      </c>
      <c r="E188" s="8">
        <f t="shared" si="9"/>
        <v>-5.7445011032060149</v>
      </c>
      <c r="F188" s="8" t="str">
        <f t="shared" si="10"/>
        <v>good</v>
      </c>
    </row>
    <row r="189" spans="1:6" ht="15.75" thickBot="1">
      <c r="A189" s="3">
        <v>2</v>
      </c>
      <c r="B189" s="6">
        <v>13.1</v>
      </c>
      <c r="C189" s="8">
        <v>66</v>
      </c>
      <c r="D189" s="52" t="s">
        <v>4</v>
      </c>
      <c r="E189" s="8">
        <f t="shared" si="9"/>
        <v>-5.7783889565663706</v>
      </c>
      <c r="F189" s="8" t="str">
        <f t="shared" si="10"/>
        <v>good</v>
      </c>
    </row>
    <row r="190" spans="1:6" ht="15.75" thickBot="1">
      <c r="A190" s="3">
        <v>1</v>
      </c>
      <c r="B190" s="6">
        <v>7.9</v>
      </c>
      <c r="C190" s="8">
        <v>63</v>
      </c>
      <c r="D190" s="52" t="s">
        <v>4</v>
      </c>
      <c r="E190" s="8">
        <f t="shared" si="9"/>
        <v>-4.3175029944668051</v>
      </c>
      <c r="F190" s="8" t="str">
        <f t="shared" si="10"/>
        <v>good</v>
      </c>
    </row>
    <row r="191" spans="1:6" ht="15.75" thickBot="1">
      <c r="A191" s="3">
        <v>1</v>
      </c>
      <c r="B191" s="6">
        <v>6.5</v>
      </c>
      <c r="C191" s="8">
        <v>60</v>
      </c>
      <c r="D191" s="52" t="s">
        <v>4</v>
      </c>
      <c r="E191" s="8">
        <f t="shared" si="9"/>
        <v>-3.7557179243632826</v>
      </c>
      <c r="F191" s="8" t="str">
        <f t="shared" si="10"/>
        <v>bad</v>
      </c>
    </row>
    <row r="192" spans="1:6" ht="15.75" thickBot="1">
      <c r="A192" s="3">
        <v>4</v>
      </c>
      <c r="B192" s="6">
        <v>13.2</v>
      </c>
      <c r="C192" s="8">
        <v>42</v>
      </c>
      <c r="D192" s="52" t="s">
        <v>4</v>
      </c>
      <c r="E192" s="8">
        <f t="shared" si="9"/>
        <v>-4.3077098701611733</v>
      </c>
      <c r="F192" s="8" t="str">
        <f t="shared" si="10"/>
        <v>good</v>
      </c>
    </row>
    <row r="193" spans="1:6" ht="15.75" thickBot="1">
      <c r="A193" s="3">
        <v>2</v>
      </c>
      <c r="B193" s="6">
        <v>6.5</v>
      </c>
      <c r="C193" s="8">
        <v>47</v>
      </c>
      <c r="D193" s="52" t="s">
        <v>4</v>
      </c>
      <c r="E193" s="8">
        <f t="shared" si="9"/>
        <v>-2.9711121517602876</v>
      </c>
      <c r="F193" s="8" t="str">
        <f t="shared" si="10"/>
        <v>bad</v>
      </c>
    </row>
    <row r="194" spans="1:6" ht="15.75" thickBot="1">
      <c r="A194" s="3">
        <v>0</v>
      </c>
      <c r="B194" s="6">
        <v>4.7</v>
      </c>
      <c r="C194" s="8">
        <v>46</v>
      </c>
      <c r="D194" s="52" t="s">
        <v>4</v>
      </c>
      <c r="E194" s="8">
        <f t="shared" si="9"/>
        <v>-3.0611004056707269</v>
      </c>
      <c r="F194" s="8" t="str">
        <f t="shared" si="10"/>
        <v>bad</v>
      </c>
    </row>
    <row r="195" spans="1:6" ht="15.75" thickBot="1">
      <c r="A195" s="3">
        <v>0</v>
      </c>
      <c r="B195" s="6">
        <v>8</v>
      </c>
      <c r="C195" s="8">
        <v>55</v>
      </c>
      <c r="D195" s="52" t="s">
        <v>4</v>
      </c>
      <c r="E195" s="8">
        <f t="shared" si="9"/>
        <v>-4.4483854210116167</v>
      </c>
      <c r="F195" s="8" t="str">
        <f t="shared" si="10"/>
        <v>good</v>
      </c>
    </row>
    <row r="196" spans="1:6" ht="15.75" thickBot="1">
      <c r="A196" s="3">
        <v>3</v>
      </c>
      <c r="B196" s="6">
        <v>13.9</v>
      </c>
      <c r="C196" s="8">
        <v>63</v>
      </c>
      <c r="D196" s="52" t="s">
        <v>4</v>
      </c>
      <c r="E196" s="8">
        <f t="shared" si="9"/>
        <v>-5.5858022096239015</v>
      </c>
      <c r="F196" s="8" t="str">
        <f t="shared" si="10"/>
        <v>good</v>
      </c>
    </row>
    <row r="197" spans="1:6" ht="15.75" thickBot="1">
      <c r="A197" s="3">
        <v>0</v>
      </c>
      <c r="B197" s="6">
        <v>11.4</v>
      </c>
      <c r="C197" s="8">
        <v>67</v>
      </c>
      <c r="D197" s="52" t="s">
        <v>4</v>
      </c>
      <c r="E197" s="8">
        <f t="shared" si="9"/>
        <v>-5.9669096692776034</v>
      </c>
      <c r="F197" s="8" t="str">
        <f t="shared" si="10"/>
        <v>good</v>
      </c>
    </row>
    <row r="198" spans="1:6" ht="15.75" thickBot="1">
      <c r="A198" s="3">
        <v>2</v>
      </c>
      <c r="B198" s="6">
        <v>9.3000000000000007</v>
      </c>
      <c r="C198" s="8">
        <v>68</v>
      </c>
      <c r="D198" s="52" t="s">
        <v>4</v>
      </c>
      <c r="E198" s="8">
        <f t="shared" si="9"/>
        <v>-4.5852839038318844</v>
      </c>
      <c r="F198" s="8" t="str">
        <f t="shared" si="10"/>
        <v>good</v>
      </c>
    </row>
    <row r="199" spans="1:6" ht="15.75" thickBot="1">
      <c r="A199" s="3">
        <v>1</v>
      </c>
      <c r="B199" s="6">
        <v>16.3</v>
      </c>
      <c r="C199" s="8">
        <v>43</v>
      </c>
      <c r="D199" s="52" t="s">
        <v>4</v>
      </c>
      <c r="E199" s="8">
        <f t="shared" si="9"/>
        <v>-6.445355998364418</v>
      </c>
      <c r="F199" s="8" t="str">
        <f t="shared" si="10"/>
        <v>good</v>
      </c>
    </row>
    <row r="200" spans="1:6" ht="15.75" thickBot="1">
      <c r="A200" s="3">
        <v>4</v>
      </c>
      <c r="B200" s="6">
        <v>11.3</v>
      </c>
      <c r="C200" s="8">
        <v>46</v>
      </c>
      <c r="D200" s="52" t="s">
        <v>4</v>
      </c>
      <c r="E200" s="8">
        <f t="shared" si="9"/>
        <v>-3.8092776661668406</v>
      </c>
      <c r="F200" s="8" t="str">
        <f t="shared" si="10"/>
        <v>bad</v>
      </c>
    </row>
    <row r="201" spans="1:6" ht="15.75" thickBot="1">
      <c r="A201" s="3">
        <v>4</v>
      </c>
      <c r="B201" s="6">
        <v>7.9</v>
      </c>
      <c r="C201" s="8">
        <v>54</v>
      </c>
      <c r="D201" s="52" t="s">
        <v>4</v>
      </c>
      <c r="E201" s="8">
        <f t="shared" si="9"/>
        <v>-2.9448889003869216</v>
      </c>
      <c r="F201" s="8" t="str">
        <f t="shared" si="10"/>
        <v>bad</v>
      </c>
    </row>
    <row r="202" spans="1:6" ht="15.75" thickBot="1">
      <c r="A202" s="3">
        <v>1</v>
      </c>
      <c r="B202" s="6">
        <v>14</v>
      </c>
      <c r="C202" s="8">
        <v>48</v>
      </c>
      <c r="D202" s="52" t="s">
        <v>4</v>
      </c>
      <c r="E202" s="8">
        <f t="shared" si="9"/>
        <v>-5.8471549262856408</v>
      </c>
      <c r="F202" s="8" t="str">
        <f t="shared" si="10"/>
        <v>good</v>
      </c>
    </row>
    <row r="203" spans="1:6" ht="15.75" thickBot="1">
      <c r="A203" s="3">
        <v>1</v>
      </c>
      <c r="B203" s="6">
        <v>28</v>
      </c>
      <c r="C203" s="8">
        <v>65</v>
      </c>
      <c r="D203" s="52" t="s">
        <v>4</v>
      </c>
      <c r="E203" s="8">
        <f t="shared" si="9"/>
        <v>-11.039817563704929</v>
      </c>
      <c r="F203" s="8" t="str">
        <f t="shared" si="10"/>
        <v>good</v>
      </c>
    </row>
    <row r="204" spans="1:6" ht="15.75" thickBot="1">
      <c r="A204" s="3">
        <v>1</v>
      </c>
      <c r="B204" s="6">
        <v>6.5</v>
      </c>
      <c r="C204" s="8">
        <v>49</v>
      </c>
      <c r="D204" s="52" t="s">
        <v>4</v>
      </c>
      <c r="E204" s="8">
        <f t="shared" si="9"/>
        <v>-3.3959434089959455</v>
      </c>
      <c r="F204" s="8" t="str">
        <f t="shared" si="10"/>
        <v>bad</v>
      </c>
    </row>
    <row r="205" spans="1:6" ht="15.75" thickBot="1">
      <c r="A205" s="3">
        <v>1</v>
      </c>
      <c r="B205" s="6">
        <v>9.8000000000000007</v>
      </c>
      <c r="C205" s="8">
        <v>50</v>
      </c>
      <c r="D205" s="52" t="s">
        <v>4</v>
      </c>
      <c r="E205" s="8">
        <f t="shared" si="9"/>
        <v>-4.5215742313424085</v>
      </c>
      <c r="F205" s="8" t="str">
        <f t="shared" si="10"/>
        <v>good</v>
      </c>
    </row>
    <row r="206" spans="1:6" ht="15.75" thickBot="1">
      <c r="A206" s="3">
        <v>1</v>
      </c>
      <c r="B206" s="6">
        <v>14.2</v>
      </c>
      <c r="C206" s="8">
        <v>63</v>
      </c>
      <c r="D206" s="52" t="s">
        <v>4</v>
      </c>
      <c r="E206" s="8">
        <f t="shared" si="9"/>
        <v>-6.4039943592545647</v>
      </c>
      <c r="F206" s="8" t="str">
        <f t="shared" si="10"/>
        <v>good</v>
      </c>
    </row>
    <row r="207" spans="1:6" ht="15.75" thickBot="1">
      <c r="A207" s="3">
        <v>1</v>
      </c>
      <c r="B207" s="6">
        <v>10.7</v>
      </c>
      <c r="C207" s="8">
        <v>68</v>
      </c>
      <c r="D207" s="52" t="s">
        <v>4</v>
      </c>
      <c r="E207" s="8">
        <f t="shared" si="9"/>
        <v>-5.4083663605495484</v>
      </c>
      <c r="F207" s="8" t="str">
        <f t="shared" si="10"/>
        <v>good</v>
      </c>
    </row>
    <row r="208" spans="1:6" ht="15.75" thickBot="1">
      <c r="A208" s="3">
        <v>3</v>
      </c>
      <c r="B208" s="6">
        <v>10</v>
      </c>
      <c r="C208" s="8">
        <v>67</v>
      </c>
      <c r="D208" s="52" t="s">
        <v>4</v>
      </c>
      <c r="E208" s="8">
        <f t="shared" si="9"/>
        <v>-4.4249917945858357</v>
      </c>
      <c r="F208" s="8" t="str">
        <f t="shared" si="10"/>
        <v>good</v>
      </c>
    </row>
    <row r="209" spans="1:6" ht="15.75" thickBot="1">
      <c r="A209" s="3">
        <v>0</v>
      </c>
      <c r="B209" s="6">
        <v>12</v>
      </c>
      <c r="C209" s="8">
        <v>48</v>
      </c>
      <c r="D209" s="52" t="s">
        <v>4</v>
      </c>
      <c r="E209" s="8">
        <f t="shared" si="9"/>
        <v>-5.5441944242289587</v>
      </c>
      <c r="F209" s="8" t="str">
        <f t="shared" si="10"/>
        <v>good</v>
      </c>
    </row>
    <row r="210" spans="1:6" ht="15.75" thickBot="1">
      <c r="A210" s="3">
        <v>1</v>
      </c>
      <c r="B210" s="6">
        <v>23</v>
      </c>
      <c r="C210" s="8">
        <v>52</v>
      </c>
      <c r="D210" s="52" t="s">
        <v>4</v>
      </c>
      <c r="E210" s="8">
        <f t="shared" si="9"/>
        <v>-8.958683972479653</v>
      </c>
      <c r="F210" s="8" t="str">
        <f t="shared" si="10"/>
        <v>good</v>
      </c>
    </row>
    <row r="211" spans="1:6">
      <c r="C211"/>
      <c r="D211"/>
    </row>
    <row r="212" spans="1:6">
      <c r="C212"/>
      <c r="D212"/>
    </row>
    <row r="213" spans="1:6">
      <c r="C213"/>
      <c r="D213"/>
    </row>
    <row r="214" spans="1:6">
      <c r="C214"/>
      <c r="D214"/>
    </row>
    <row r="215" spans="1:6">
      <c r="C215"/>
      <c r="D215"/>
    </row>
    <row r="216" spans="1:6">
      <c r="C216"/>
      <c r="D216"/>
    </row>
    <row r="217" spans="1:6">
      <c r="C217"/>
      <c r="D217"/>
    </row>
    <row r="218" spans="1:6">
      <c r="C218"/>
      <c r="D218"/>
    </row>
    <row r="219" spans="1:6">
      <c r="C219"/>
      <c r="D219"/>
    </row>
    <row r="220" spans="1:6">
      <c r="C220"/>
      <c r="D220"/>
    </row>
    <row r="221" spans="1:6">
      <c r="C221"/>
      <c r="D221"/>
    </row>
    <row r="222" spans="1:6">
      <c r="C222"/>
      <c r="D222"/>
    </row>
    <row r="223" spans="1:6">
      <c r="C223"/>
      <c r="D223"/>
    </row>
    <row r="224" spans="1:6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4">
      <c r="C273"/>
      <c r="D273"/>
    </row>
    <row r="274" spans="3:4">
      <c r="C274"/>
      <c r="D274"/>
    </row>
    <row r="275" spans="3:4">
      <c r="C275"/>
      <c r="D275"/>
    </row>
    <row r="276" spans="3:4">
      <c r="C276"/>
      <c r="D276"/>
    </row>
    <row r="277" spans="3:4">
      <c r="C277"/>
      <c r="D277"/>
    </row>
    <row r="278" spans="3:4">
      <c r="C278"/>
      <c r="D278"/>
    </row>
    <row r="279" spans="3:4">
      <c r="C279"/>
      <c r="D279"/>
    </row>
    <row r="280" spans="3:4">
      <c r="C280"/>
      <c r="D280"/>
    </row>
    <row r="281" spans="3:4">
      <c r="C281"/>
      <c r="D281"/>
    </row>
    <row r="282" spans="3:4">
      <c r="C282"/>
      <c r="D282"/>
    </row>
    <row r="283" spans="3:4">
      <c r="C283"/>
      <c r="D283"/>
    </row>
    <row r="284" spans="3:4">
      <c r="C284"/>
      <c r="D284"/>
    </row>
    <row r="285" spans="3:4">
      <c r="C285"/>
      <c r="D285"/>
    </row>
    <row r="286" spans="3:4">
      <c r="C286"/>
      <c r="D286"/>
    </row>
    <row r="287" spans="3:4">
      <c r="C287"/>
      <c r="D287"/>
    </row>
    <row r="288" spans="3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/>
      <c r="D374"/>
    </row>
    <row r="375" spans="3:4">
      <c r="C375"/>
      <c r="D375"/>
    </row>
    <row r="376" spans="3:4">
      <c r="C376"/>
      <c r="D376"/>
    </row>
    <row r="377" spans="3:4">
      <c r="C377"/>
      <c r="D377"/>
    </row>
    <row r="378" spans="3:4">
      <c r="C378"/>
      <c r="D378"/>
    </row>
    <row r="379" spans="3:4">
      <c r="C379"/>
      <c r="D379"/>
    </row>
    <row r="380" spans="3:4">
      <c r="C380"/>
      <c r="D380"/>
    </row>
    <row r="381" spans="3:4">
      <c r="C381"/>
      <c r="D381"/>
    </row>
    <row r="382" spans="3:4">
      <c r="C382"/>
      <c r="D382"/>
    </row>
    <row r="383" spans="3:4">
      <c r="C383"/>
      <c r="D383"/>
    </row>
    <row r="384" spans="3:4">
      <c r="C384"/>
      <c r="D384"/>
    </row>
    <row r="385" spans="3:4">
      <c r="C385"/>
      <c r="D385"/>
    </row>
    <row r="386" spans="3:4">
      <c r="C386"/>
      <c r="D386"/>
    </row>
    <row r="387" spans="3:4">
      <c r="C387"/>
      <c r="D387"/>
    </row>
    <row r="388" spans="3:4">
      <c r="C388"/>
      <c r="D388"/>
    </row>
    <row r="389" spans="3:4">
      <c r="C389"/>
      <c r="D389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/>
      <c r="D404"/>
    </row>
    <row r="405" spans="3:4">
      <c r="C40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/>
      <c r="D413"/>
    </row>
    <row r="414" spans="3:4">
      <c r="C414"/>
      <c r="D414"/>
    </row>
    <row r="415" spans="3:4">
      <c r="C415"/>
      <c r="D415"/>
    </row>
    <row r="416" spans="3:4">
      <c r="C416"/>
      <c r="D416"/>
    </row>
    <row r="417" spans="3:4">
      <c r="C417"/>
      <c r="D417"/>
    </row>
    <row r="418" spans="3:4">
      <c r="C418"/>
      <c r="D418"/>
    </row>
    <row r="419" spans="3:4">
      <c r="C419"/>
      <c r="D419"/>
    </row>
    <row r="420" spans="3:4">
      <c r="C420"/>
      <c r="D420"/>
    </row>
    <row r="421" spans="3:4">
      <c r="C421"/>
      <c r="D421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/>
      <c r="D425"/>
    </row>
    <row r="426" spans="3:4">
      <c r="C426"/>
      <c r="D426"/>
    </row>
    <row r="427" spans="3:4">
      <c r="C427"/>
      <c r="D42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/>
      <c r="D431"/>
    </row>
    <row r="432" spans="3:4">
      <c r="C432"/>
      <c r="D432"/>
    </row>
    <row r="433" spans="3:4">
      <c r="C433"/>
      <c r="D433"/>
    </row>
    <row r="434" spans="3:4">
      <c r="C434"/>
      <c r="D434"/>
    </row>
    <row r="435" spans="3:4">
      <c r="C435"/>
      <c r="D435"/>
    </row>
    <row r="436" spans="3:4">
      <c r="C436"/>
      <c r="D436"/>
    </row>
    <row r="437" spans="3:4">
      <c r="C437"/>
      <c r="D437"/>
    </row>
    <row r="438" spans="3:4">
      <c r="C438"/>
      <c r="D438"/>
    </row>
    <row r="439" spans="3:4">
      <c r="C439"/>
      <c r="D439"/>
    </row>
    <row r="440" spans="3:4">
      <c r="C440"/>
      <c r="D440"/>
    </row>
    <row r="441" spans="3:4">
      <c r="C441"/>
      <c r="D441"/>
    </row>
    <row r="442" spans="3:4">
      <c r="C442"/>
      <c r="D442"/>
    </row>
    <row r="443" spans="3:4">
      <c r="C443"/>
      <c r="D443"/>
    </row>
    <row r="444" spans="3:4">
      <c r="C444"/>
      <c r="D444"/>
    </row>
    <row r="445" spans="3:4">
      <c r="C445"/>
      <c r="D445"/>
    </row>
    <row r="446" spans="3:4">
      <c r="C446"/>
      <c r="D446"/>
    </row>
    <row r="447" spans="3:4">
      <c r="C447"/>
      <c r="D447"/>
    </row>
    <row r="448" spans="3:4">
      <c r="C448"/>
      <c r="D448"/>
    </row>
    <row r="449" spans="3:4">
      <c r="C449"/>
      <c r="D449"/>
    </row>
    <row r="450" spans="3:4">
      <c r="C450"/>
      <c r="D450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/>
      <c r="D454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/>
      <c r="D461"/>
    </row>
    <row r="462" spans="3:4">
      <c r="C462"/>
      <c r="D462"/>
    </row>
    <row r="463" spans="3:4">
      <c r="C463"/>
      <c r="D463"/>
    </row>
    <row r="464" spans="3:4">
      <c r="C464"/>
      <c r="D464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/>
      <c r="D480"/>
    </row>
    <row r="481" spans="3:4">
      <c r="C481"/>
      <c r="D481"/>
    </row>
    <row r="482" spans="3:4">
      <c r="C482"/>
      <c r="D482"/>
    </row>
    <row r="483" spans="3:4">
      <c r="C483"/>
      <c r="D483"/>
    </row>
    <row r="484" spans="3:4">
      <c r="C484"/>
      <c r="D484"/>
    </row>
    <row r="485" spans="3:4">
      <c r="C485"/>
      <c r="D485"/>
    </row>
    <row r="486" spans="3:4">
      <c r="C486"/>
      <c r="D486"/>
    </row>
    <row r="487" spans="3:4">
      <c r="C487"/>
      <c r="D487"/>
    </row>
    <row r="488" spans="3:4">
      <c r="C488"/>
      <c r="D488"/>
    </row>
    <row r="489" spans="3:4">
      <c r="C489"/>
      <c r="D489"/>
    </row>
    <row r="490" spans="3:4">
      <c r="C490"/>
      <c r="D490"/>
    </row>
    <row r="491" spans="3:4">
      <c r="C491"/>
      <c r="D491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/>
      <c r="D495"/>
    </row>
    <row r="496" spans="3:4">
      <c r="C496"/>
      <c r="D496"/>
    </row>
    <row r="497" spans="3:4">
      <c r="C497"/>
      <c r="D497"/>
    </row>
    <row r="498" spans="3:4">
      <c r="C498"/>
      <c r="D498"/>
    </row>
    <row r="499" spans="3:4">
      <c r="C499"/>
      <c r="D499"/>
    </row>
    <row r="500" spans="3:4">
      <c r="C500"/>
      <c r="D500"/>
    </row>
    <row r="501" spans="3:4">
      <c r="C501"/>
      <c r="D501"/>
    </row>
    <row r="502" spans="3:4">
      <c r="C502"/>
      <c r="D502"/>
    </row>
    <row r="503" spans="3:4">
      <c r="C503"/>
      <c r="D503"/>
    </row>
    <row r="504" spans="3:4">
      <c r="C504"/>
      <c r="D504"/>
    </row>
    <row r="505" spans="3:4">
      <c r="C505"/>
      <c r="D505"/>
    </row>
    <row r="506" spans="3:4">
      <c r="C506"/>
      <c r="D506"/>
    </row>
    <row r="507" spans="3:4">
      <c r="C507"/>
      <c r="D507"/>
    </row>
    <row r="508" spans="3:4">
      <c r="C508"/>
      <c r="D508"/>
    </row>
    <row r="509" spans="3:4">
      <c r="C509"/>
      <c r="D509"/>
    </row>
    <row r="510" spans="3:4">
      <c r="C510"/>
      <c r="D510"/>
    </row>
    <row r="511" spans="3:4">
      <c r="C511"/>
      <c r="D511"/>
    </row>
    <row r="512" spans="3:4">
      <c r="C512"/>
      <c r="D512"/>
    </row>
    <row r="513" spans="3:4">
      <c r="C513"/>
      <c r="D513"/>
    </row>
    <row r="514" spans="3:4">
      <c r="C514"/>
      <c r="D514"/>
    </row>
    <row r="515" spans="3:4">
      <c r="C515"/>
      <c r="D515"/>
    </row>
    <row r="516" spans="3:4">
      <c r="C516"/>
      <c r="D516"/>
    </row>
    <row r="517" spans="3:4">
      <c r="C517"/>
      <c r="D517"/>
    </row>
    <row r="518" spans="3:4">
      <c r="C518"/>
      <c r="D518"/>
    </row>
    <row r="519" spans="3:4">
      <c r="C519"/>
      <c r="D519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/>
      <c r="D523"/>
    </row>
    <row r="524" spans="3:4">
      <c r="C524"/>
      <c r="D524"/>
    </row>
    <row r="525" spans="3:4">
      <c r="C525"/>
      <c r="D525"/>
    </row>
    <row r="526" spans="3:4">
      <c r="C526"/>
      <c r="D526"/>
    </row>
    <row r="527" spans="3:4">
      <c r="C527"/>
      <c r="D52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/>
      <c r="D531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/>
      <c r="D536"/>
    </row>
    <row r="537" spans="3:4">
      <c r="C537"/>
      <c r="D53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/>
      <c r="D541"/>
    </row>
    <row r="542" spans="3:4">
      <c r="C542"/>
      <c r="D542"/>
    </row>
    <row r="543" spans="3:4">
      <c r="C543"/>
      <c r="D543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/>
      <c r="D549"/>
    </row>
    <row r="550" spans="3:4">
      <c r="C550"/>
      <c r="D550"/>
    </row>
    <row r="551" spans="3:4">
      <c r="C551"/>
      <c r="D551"/>
    </row>
    <row r="552" spans="3:4">
      <c r="C552"/>
      <c r="D552"/>
    </row>
    <row r="553" spans="3:4">
      <c r="C553"/>
      <c r="D553"/>
    </row>
    <row r="554" spans="3:4">
      <c r="C554"/>
      <c r="D554"/>
    </row>
    <row r="555" spans="3:4">
      <c r="C555"/>
      <c r="D555"/>
    </row>
    <row r="556" spans="3:4">
      <c r="C556"/>
      <c r="D556"/>
    </row>
    <row r="557" spans="3:4">
      <c r="C557"/>
      <c r="D557"/>
    </row>
    <row r="558" spans="3:4">
      <c r="C558"/>
      <c r="D558"/>
    </row>
    <row r="559" spans="3:4">
      <c r="C559"/>
      <c r="D559"/>
    </row>
    <row r="560" spans="3:4">
      <c r="C560"/>
      <c r="D560"/>
    </row>
    <row r="561" spans="3:4">
      <c r="C561"/>
      <c r="D561"/>
    </row>
    <row r="562" spans="3:4">
      <c r="C562"/>
      <c r="D562"/>
    </row>
    <row r="563" spans="3:4">
      <c r="C563"/>
      <c r="D563"/>
    </row>
    <row r="564" spans="3:4">
      <c r="C564"/>
      <c r="D564"/>
    </row>
    <row r="565" spans="3:4">
      <c r="C565"/>
      <c r="D565"/>
    </row>
    <row r="566" spans="3:4">
      <c r="C566"/>
      <c r="D566"/>
    </row>
    <row r="567" spans="3:4">
      <c r="C567"/>
      <c r="D567"/>
    </row>
    <row r="568" spans="3:4">
      <c r="C568"/>
      <c r="D568"/>
    </row>
    <row r="569" spans="3:4">
      <c r="C569"/>
      <c r="D569"/>
    </row>
    <row r="570" spans="3:4">
      <c r="C570"/>
      <c r="D570"/>
    </row>
    <row r="571" spans="3:4">
      <c r="C571"/>
      <c r="D571"/>
    </row>
    <row r="572" spans="3:4">
      <c r="C572"/>
      <c r="D572"/>
    </row>
    <row r="573" spans="3:4">
      <c r="C573"/>
      <c r="D573"/>
    </row>
    <row r="574" spans="3:4">
      <c r="C574"/>
      <c r="D574"/>
    </row>
    <row r="575" spans="3:4">
      <c r="C575"/>
      <c r="D575"/>
    </row>
    <row r="576" spans="3:4">
      <c r="C576"/>
      <c r="D576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/>
      <c r="D587"/>
    </row>
    <row r="588" spans="3:4">
      <c r="C588"/>
      <c r="D588"/>
    </row>
    <row r="589" spans="3:4">
      <c r="C589"/>
      <c r="D589"/>
    </row>
    <row r="590" spans="3:4">
      <c r="C590"/>
      <c r="D590"/>
    </row>
    <row r="591" spans="3:4">
      <c r="C591"/>
      <c r="D591"/>
    </row>
    <row r="592" spans="3:4">
      <c r="C592"/>
      <c r="D592"/>
    </row>
    <row r="593" spans="3:4">
      <c r="C593"/>
      <c r="D593"/>
    </row>
    <row r="594" spans="3:4">
      <c r="C594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/>
      <c r="D599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/>
      <c r="D604"/>
    </row>
    <row r="605" spans="3:4">
      <c r="C605"/>
      <c r="D605"/>
    </row>
    <row r="606" spans="3:4">
      <c r="C606"/>
      <c r="D606"/>
    </row>
    <row r="607" spans="3:4">
      <c r="C607"/>
      <c r="D60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/>
      <c r="D612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/>
      <c r="D617"/>
    </row>
    <row r="618" spans="3:4">
      <c r="C618"/>
      <c r="D618"/>
    </row>
    <row r="619" spans="3:4">
      <c r="C619"/>
      <c r="D619"/>
    </row>
    <row r="620" spans="3:4">
      <c r="C620"/>
      <c r="D620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/>
      <c r="D627"/>
    </row>
    <row r="628" spans="3:4">
      <c r="C628"/>
      <c r="D628"/>
    </row>
    <row r="629" spans="3:4">
      <c r="C629"/>
      <c r="D629"/>
    </row>
    <row r="630" spans="3:4">
      <c r="C630"/>
      <c r="D630"/>
    </row>
    <row r="631" spans="3:4">
      <c r="C631"/>
      <c r="D631"/>
    </row>
    <row r="632" spans="3:4">
      <c r="C632"/>
      <c r="D632"/>
    </row>
    <row r="633" spans="3:4">
      <c r="C633"/>
      <c r="D633"/>
    </row>
    <row r="634" spans="3:4">
      <c r="C634"/>
      <c r="D634"/>
    </row>
    <row r="635" spans="3:4">
      <c r="C635"/>
      <c r="D635"/>
    </row>
    <row r="636" spans="3:4">
      <c r="C636"/>
      <c r="D636"/>
    </row>
    <row r="637" spans="3:4">
      <c r="C637"/>
      <c r="D637"/>
    </row>
    <row r="638" spans="3:4">
      <c r="C638"/>
      <c r="D638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/>
      <c r="D645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/>
      <c r="D649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4">
      <c r="C657"/>
      <c r="D657"/>
    </row>
    <row r="658" spans="3:4">
      <c r="C658"/>
      <c r="D658"/>
    </row>
    <row r="659" spans="3:4">
      <c r="C659"/>
      <c r="D659"/>
    </row>
    <row r="660" spans="3:4">
      <c r="C660"/>
      <c r="D660"/>
    </row>
  </sheetData>
  <mergeCells count="8">
    <mergeCell ref="I113:J113"/>
    <mergeCell ref="H119:N119"/>
    <mergeCell ref="F1:N1"/>
    <mergeCell ref="F64:N64"/>
    <mergeCell ref="F71:N71"/>
    <mergeCell ref="F98:N98"/>
    <mergeCell ref="F108:N108"/>
    <mergeCell ref="I111:J1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5216-1122-4F9D-A1EE-B65BCF6DD23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Rizki</dc:creator>
  <cp:lastModifiedBy>a</cp:lastModifiedBy>
  <dcterms:created xsi:type="dcterms:W3CDTF">2025-11-13T05:27:56Z</dcterms:created>
  <dcterms:modified xsi:type="dcterms:W3CDTF">2025-11-17T10:57:39Z</dcterms:modified>
</cp:coreProperties>
</file>